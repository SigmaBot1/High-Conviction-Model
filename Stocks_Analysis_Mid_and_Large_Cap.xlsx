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p\Projects\my-project\high-conviction-model\"/>
    </mc:Choice>
  </mc:AlternateContent>
  <xr:revisionPtr revIDLastSave="0" documentId="13_ncr:1_{D635A5A1-3B3B-4626-878E-CC1A8ED7510B}" xr6:coauthVersionLast="47" xr6:coauthVersionMax="47" xr10:uidLastSave="{00000000-0000-0000-0000-000000000000}"/>
  <bookViews>
    <workbookView xWindow="-120" yWindow="-120" windowWidth="19440" windowHeight="15600" activeTab="2" xr2:uid="{00000000-000D-0000-FFFF-FFFF00000000}"/>
  </bookViews>
  <sheets>
    <sheet name="Stocks Data" sheetId="1" r:id="rId1"/>
    <sheet name="High Priority List" sheetId="2" r:id="rId2"/>
    <sheet name="QVM Portfol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<sst xmlns="http://schemas.openxmlformats.org/spreadsheetml/2006/main" count="880" uniqueCount="475">
  <si>
    <t>Mid Cap Stocks ($2B - $10B)</t>
  </si>
  <si>
    <t>This set of stocks (entries 1-80) passed manual filters on Finviz for Mid Cap valuation.</t>
  </si>
  <si>
    <t>No.</t>
  </si>
  <si>
    <t>Ticker</t>
  </si>
  <si>
    <t>Company</t>
  </si>
  <si>
    <t>Sector</t>
  </si>
  <si>
    <t>Industry</t>
  </si>
  <si>
    <t>Country</t>
  </si>
  <si>
    <t>Market Cap</t>
  </si>
  <si>
    <t>Price</t>
  </si>
  <si>
    <t>ADEA</t>
  </si>
  <si>
    <t>Adeia Inc</t>
  </si>
  <si>
    <t>Technology</t>
  </si>
  <si>
    <t>Software - Application</t>
  </si>
  <si>
    <t>USA</t>
  </si>
  <si>
    <t>2.93B</t>
  </si>
  <si>
    <t>ADMA</t>
  </si>
  <si>
    <t>Adma Biologics Inc</t>
  </si>
  <si>
    <t>Healthcare</t>
  </si>
  <si>
    <t>Biotechnology</t>
  </si>
  <si>
    <t>2.31B</t>
  </si>
  <si>
    <t>ALGM</t>
  </si>
  <si>
    <t>Allegro Microsystems Inc</t>
  </si>
  <si>
    <t>Semiconductors</t>
  </si>
  <si>
    <t>6.95B</t>
  </si>
  <si>
    <t>AMBA</t>
  </si>
  <si>
    <t>Ambarella Inc</t>
  </si>
  <si>
    <t>Semiconductor Equipment &amp; Materials</t>
  </si>
  <si>
    <t>APPF</t>
  </si>
  <si>
    <t>Appfolio Inc</t>
  </si>
  <si>
    <t>5.16B</t>
  </si>
  <si>
    <t>ARIS</t>
  </si>
  <si>
    <t>Aris Mining Corp</t>
  </si>
  <si>
    <t>Basic Materials</t>
  </si>
  <si>
    <t>Gold</t>
  </si>
  <si>
    <t>Canada</t>
  </si>
  <si>
    <t>4.28B</t>
  </si>
  <si>
    <t>ARQT</t>
  </si>
  <si>
    <t>Arcutis Biotherapeutics Inc</t>
  </si>
  <si>
    <t>3.00B</t>
  </si>
  <si>
    <t>ASR</t>
  </si>
  <si>
    <t>Grupo Aeroportuario Del Sureste S.A. ADR</t>
  </si>
  <si>
    <t>Industrials</t>
  </si>
  <si>
    <t>Airports &amp; Air Services</t>
  </si>
  <si>
    <t>Mexico</t>
  </si>
  <si>
    <t>9.63B</t>
  </si>
  <si>
    <t>ATAT</t>
  </si>
  <si>
    <t>Atour Lifestyle Holdings Ltd ADR</t>
  </si>
  <si>
    <t>Consumer Cyclical</t>
  </si>
  <si>
    <t>Lodging</t>
  </si>
  <si>
    <t>China</t>
  </si>
  <si>
    <t>4.11B</t>
  </si>
  <si>
    <t>AUPH</t>
  </si>
  <si>
    <t>Aurinia Pharmaceuticals Inc</t>
  </si>
  <si>
    <t>2.10B</t>
  </si>
  <si>
    <t>BEAM</t>
  </si>
  <si>
    <t>Beam Therapeutics Inc</t>
  </si>
  <si>
    <t>2.79B</t>
  </si>
  <si>
    <t>BIRK</t>
  </si>
  <si>
    <t>Birkenstock Holding Plc</t>
  </si>
  <si>
    <t>Footwear &amp; Accessories</t>
  </si>
  <si>
    <t>United Kingdom</t>
  </si>
  <si>
    <t>6.99B</t>
  </si>
  <si>
    <t>BLLN</t>
  </si>
  <si>
    <t>Billiontoone Inc</t>
  </si>
  <si>
    <t>Diagnostics &amp; Research</t>
  </si>
  <si>
    <t>3.73B</t>
  </si>
  <si>
    <t>BVN</t>
  </si>
  <si>
    <t>Compania de Minas Buenaventura S.A. ADR</t>
  </si>
  <si>
    <t>Other Precious Metals &amp; Mining</t>
  </si>
  <si>
    <t>Peru</t>
  </si>
  <si>
    <t>9.58B</t>
  </si>
  <si>
    <t>BZ</t>
  </si>
  <si>
    <t>Kanzhun Ltd ADR</t>
  </si>
  <si>
    <t>Communication Services</t>
  </si>
  <si>
    <t>Internet Content &amp; Information</t>
  </si>
  <si>
    <t>5.25B</t>
  </si>
  <si>
    <t>CAI</t>
  </si>
  <si>
    <t>Caris Life Sciences Inc</t>
  </si>
  <si>
    <t>5.10B</t>
  </si>
  <si>
    <t>CALX</t>
  </si>
  <si>
    <t>Calix Inc</t>
  </si>
  <si>
    <t>Software - Infrastructure</t>
  </si>
  <si>
    <t>3.13B</t>
  </si>
  <si>
    <t>CHYM</t>
  </si>
  <si>
    <t>Chime Financial Inc</t>
  </si>
  <si>
    <t>7.53B</t>
  </si>
  <si>
    <t>CLBT</t>
  </si>
  <si>
    <t>Cellebrite DI Ltd</t>
  </si>
  <si>
    <t>Israel</t>
  </si>
  <si>
    <t>2.75B</t>
  </si>
  <si>
    <t>CSW</t>
  </si>
  <si>
    <t>CSW Industrials Inc</t>
  </si>
  <si>
    <t>Specialty Industrial Machinery</t>
  </si>
  <si>
    <t>4.79B</t>
  </si>
  <si>
    <t>CTRE</t>
  </si>
  <si>
    <t>CareTrust REIT Inc</t>
  </si>
  <si>
    <t>Real Estate</t>
  </si>
  <si>
    <t>REIT - Healthcare Facilities</t>
  </si>
  <si>
    <t>8.86B</t>
  </si>
  <si>
    <t>CWAN</t>
  </si>
  <si>
    <t>Clearwater Analytics Holdings Inc</t>
  </si>
  <si>
    <t>7.14B</t>
  </si>
  <si>
    <t>CXT</t>
  </si>
  <si>
    <t>Crane NXT Co</t>
  </si>
  <si>
    <t>2.52B</t>
  </si>
  <si>
    <t>DAVE</t>
  </si>
  <si>
    <t>Dave Inc</t>
  </si>
  <si>
    <t>2.51B</t>
  </si>
  <si>
    <t>DAWN</t>
  </si>
  <si>
    <t>Day One Biopharmaceuticals Inc</t>
  </si>
  <si>
    <t>2.22B</t>
  </si>
  <si>
    <t>DRD</t>
  </si>
  <si>
    <t>DRDGold Ltd. ADR</t>
  </si>
  <si>
    <t>South Africa</t>
  </si>
  <si>
    <t>2.76B</t>
  </si>
  <si>
    <t>DSGX</t>
  </si>
  <si>
    <t>Descartes Systems Group Inc</t>
  </si>
  <si>
    <t>5.43B</t>
  </si>
  <si>
    <t>DUOL</t>
  </si>
  <si>
    <t>Duolingo Inc</t>
  </si>
  <si>
    <t>4.23B</t>
  </si>
  <si>
    <t>EGO</t>
  </si>
  <si>
    <t>Eldorado Gold Corp</t>
  </si>
  <si>
    <t>7.24B</t>
  </si>
  <si>
    <t>ELF</t>
  </si>
  <si>
    <t>e.l.f. Beauty Inc</t>
  </si>
  <si>
    <t>Consumer Defensive</t>
  </si>
  <si>
    <t>Household &amp; Personal Products</t>
  </si>
  <si>
    <t>3.85B</t>
  </si>
  <si>
    <t>EPRT</t>
  </si>
  <si>
    <t>Essential Properties Realty Trust Inc</t>
  </si>
  <si>
    <t>REIT - Retail</t>
  </si>
  <si>
    <t>6.85B</t>
  </si>
  <si>
    <t>ESTC</t>
  </si>
  <si>
    <t>Elastic N.V</t>
  </si>
  <si>
    <t>4.48B</t>
  </si>
  <si>
    <t>FIG</t>
  </si>
  <si>
    <t>Figma Inc</t>
  </si>
  <si>
    <t>9.47B</t>
  </si>
  <si>
    <t>FIGS</t>
  </si>
  <si>
    <t>Figs Inc</t>
  </si>
  <si>
    <t>Apparel Manufacturing</t>
  </si>
  <si>
    <t>2.37B</t>
  </si>
  <si>
    <t>FROG</t>
  </si>
  <si>
    <t>JFrog Ltd</t>
  </si>
  <si>
    <t>5.17B</t>
  </si>
  <si>
    <t>FSLY</t>
  </si>
  <si>
    <t>Fastly Inc</t>
  </si>
  <si>
    <t>3.50B</t>
  </si>
  <si>
    <t>GKOS</t>
  </si>
  <si>
    <t>Glaukos Corporation</t>
  </si>
  <si>
    <t>Medical Devices</t>
  </si>
  <si>
    <t>6.76B</t>
  </si>
  <si>
    <t>GLBE</t>
  </si>
  <si>
    <t>Global E Online Ltd</t>
  </si>
  <si>
    <t>Internet Retail</t>
  </si>
  <si>
    <t>5.12B</t>
  </si>
  <si>
    <t>GTLB</t>
  </si>
  <si>
    <t>Gitlab Inc</t>
  </si>
  <si>
    <t>3.30B</t>
  </si>
  <si>
    <t>GWRE</t>
  </si>
  <si>
    <t>Guidewire Software Inc</t>
  </si>
  <si>
    <t>9.99B</t>
  </si>
  <si>
    <t>PRDO</t>
  </si>
  <si>
    <t>Perdoceo Education Corporation</t>
  </si>
  <si>
    <t>Education &amp; Training Services</t>
  </si>
  <si>
    <t>2.21B</t>
  </si>
  <si>
    <t>PRM</t>
  </si>
  <si>
    <t>Perimeter Solutions Inc</t>
  </si>
  <si>
    <t>Specialty Chemicals</t>
  </si>
  <si>
    <t>3.81B</t>
  </si>
  <si>
    <t>PTRN</t>
  </si>
  <si>
    <t>Pattern Group Inc</t>
  </si>
  <si>
    <t>2.20B</t>
  </si>
  <si>
    <t>QBTS</t>
  </si>
  <si>
    <t>D-Wave Quantum Inc</t>
  </si>
  <si>
    <t>Computer Hardware</t>
  </si>
  <si>
    <t>5.27B</t>
  </si>
  <si>
    <t>RCUS</t>
  </si>
  <si>
    <t>Arcus Biosciences Inc</t>
  </si>
  <si>
    <t>2.80B</t>
  </si>
  <si>
    <t>RELY</t>
  </si>
  <si>
    <t>Remitly Global Inc</t>
  </si>
  <si>
    <t>3.55B</t>
  </si>
  <si>
    <t>RGEN</t>
  </si>
  <si>
    <t>Repligen Corp</t>
  </si>
  <si>
    <t>Medical Instruments &amp; Supplies</t>
  </si>
  <si>
    <t>6.77B</t>
  </si>
  <si>
    <t>SEZL</t>
  </si>
  <si>
    <t>Sezzle Inc</t>
  </si>
  <si>
    <t>Financial</t>
  </si>
  <si>
    <t>Credit Services</t>
  </si>
  <si>
    <t>2.02B</t>
  </si>
  <si>
    <t>SHOO</t>
  </si>
  <si>
    <t>Steven Madden Ltd</t>
  </si>
  <si>
    <t>2.77B</t>
  </si>
  <si>
    <t>SII</t>
  </si>
  <si>
    <t>Sprott Inc</t>
  </si>
  <si>
    <t>Asset Management</t>
  </si>
  <si>
    <t>3.71B</t>
  </si>
  <si>
    <t>SIMO</t>
  </si>
  <si>
    <t>Silicon Motion Technology Corp ADR</t>
  </si>
  <si>
    <t>Hong Kong</t>
  </si>
  <si>
    <t>4.31B</t>
  </si>
  <si>
    <t>SLAB</t>
  </si>
  <si>
    <t>Silicon Laboratories Inc</t>
  </si>
  <si>
    <t>6.96B</t>
  </si>
  <si>
    <t>STNG</t>
  </si>
  <si>
    <t>Scorpio Tankers Inc</t>
  </si>
  <si>
    <t>Energy</t>
  </si>
  <si>
    <t>Oil &amp; Gas Midstream</t>
  </si>
  <si>
    <t>Monaco</t>
  </si>
  <si>
    <t>3.86B</t>
  </si>
  <si>
    <t>SUPN</t>
  </si>
  <si>
    <t>Supernus Pharmaceuticals Inc</t>
  </si>
  <si>
    <t>Drug Manufacturers - Specialty &amp; Generic</t>
  </si>
  <si>
    <t>2.92B</t>
  </si>
  <si>
    <t>SXI</t>
  </si>
  <si>
    <t>Standex International Corp</t>
  </si>
  <si>
    <t>3.25B</t>
  </si>
  <si>
    <t>TAL</t>
  </si>
  <si>
    <t>TAL Education Group ADR</t>
  </si>
  <si>
    <t>5.04B</t>
  </si>
  <si>
    <t>TARS</t>
  </si>
  <si>
    <t>Tarsus Pharmaceuticals Inc</t>
  </si>
  <si>
    <t>3.09B</t>
  </si>
  <si>
    <t>TFPM</t>
  </si>
  <si>
    <t>Triple Flag Precious Metals Corp</t>
  </si>
  <si>
    <t>7.36B</t>
  </si>
  <si>
    <t>TGTX</t>
  </si>
  <si>
    <t>TG Therapeutics Inc</t>
  </si>
  <si>
    <t>5.39B</t>
  </si>
  <si>
    <t>TME</t>
  </si>
  <si>
    <t>Tencent Music Entertainment Group ADR</t>
  </si>
  <si>
    <t>Large Cap Stocks ($10B+)</t>
  </si>
  <si>
    <t>This section is reserved for stocks with a market cap of $10B+.</t>
  </si>
  <si>
    <t>High Priority Watch List</t>
  </si>
  <si>
    <t xml:space="preserve">Company </t>
  </si>
  <si>
    <t>Rating</t>
  </si>
  <si>
    <t>Course of Action</t>
  </si>
  <si>
    <t>PLTR</t>
  </si>
  <si>
    <t>Palantir</t>
  </si>
  <si>
    <t>Software Infrastructure</t>
  </si>
  <si>
    <t>MEDIUM (9/12)</t>
  </si>
  <si>
    <t>Rating Reason</t>
  </si>
  <si>
    <t>F7 Fail, F8 Fail, F11 Fail</t>
  </si>
  <si>
    <t>Notes</t>
  </si>
  <si>
    <t>Trigger</t>
  </si>
  <si>
    <t>PLTR is interesting — 38.2% off its high and P/S in the 20th percentile — but the lack of a fear regime and the momentum breakdown (F12) say wait</t>
  </si>
  <si>
    <t>The primary gating factor for both is F8 (VIX/market fear), which would require a broader market selloff to unlock</t>
  </si>
  <si>
    <t>Watch closely, don't enter yet</t>
  </si>
  <si>
    <t>MSFT</t>
  </si>
  <si>
    <t>Microsoft</t>
  </si>
  <si>
    <t>The sole blocker is F8</t>
  </si>
  <si>
    <t>This is the most compelling of the four tickers we've looked at. Everything passes except F8 (no market-wide fear regime)</t>
  </si>
  <si>
    <t>Watch closely</t>
  </si>
  <si>
    <t>TSM</t>
  </si>
  <si>
    <t>Taiwan Semiconductor Manufacturing Company Limited</t>
  </si>
  <si>
    <t>Semi Conductor</t>
  </si>
  <si>
    <t>F8 Fail, F9 Fail, F11 Fail</t>
  </si>
  <si>
    <t>Quality direction looks solid: 20.5% revenue growth, 62.3% gross margin (expanding), ROIC 32.4%, low debt</t>
  </si>
  <si>
    <t>If TSM pulls back 20%+ in a broad selloff it would be interesting</t>
  </si>
  <si>
    <t xml:space="preserve">Worth watching </t>
  </si>
  <si>
    <t>GOOG</t>
  </si>
  <si>
    <t>Alphabet</t>
  </si>
  <si>
    <r>
      <t xml:space="preserve">MEDIUM (9/12) </t>
    </r>
    <r>
      <rPr>
        <sz val="10"/>
        <color theme="1"/>
        <rFont val="Calibri"/>
        <family val="2"/>
        <scheme val="minor"/>
      </rPr>
      <t>valuation metrics unreliable</t>
    </r>
  </si>
  <si>
    <t>HIGH (11/12)</t>
  </si>
  <si>
    <t>Strong quality profile across the board, blocked only by valuation and timing</t>
  </si>
  <si>
    <r>
      <t xml:space="preserve">F11 Fail, F8 Fail, F9 Fail </t>
    </r>
    <r>
      <rPr>
        <sz val="10"/>
        <color theme="1"/>
        <rFont val="Calibri"/>
        <family val="2"/>
        <scheme val="minor"/>
      </rPr>
      <t>F11 flag is more concerning given how far the P/S has stretched from its 3yr baseline</t>
    </r>
  </si>
  <si>
    <t>CDE</t>
  </si>
  <si>
    <t>Coeur Mining</t>
  </si>
  <si>
    <t>Mining/ Gold</t>
  </si>
  <si>
    <r>
      <t xml:space="preserve">F3 Fail, F11 Fail, F8 Fail </t>
    </r>
    <r>
      <rPr>
        <sz val="10"/>
        <color theme="1"/>
        <rFont val="Calibri"/>
        <family val="2"/>
        <scheme val="minor"/>
      </rPr>
      <t>riding the precious metals rally</t>
    </r>
  </si>
  <si>
    <t>The 9/12 score is somewhat flattering given the commodity-driven nature of the metrics.</t>
  </si>
  <si>
    <t>This isn't the kind of compounder the model was designed for</t>
  </si>
  <si>
    <t>Observe</t>
  </si>
  <si>
    <t>Ambarella</t>
  </si>
  <si>
    <t>Semi Conductor Equipment &amp; Materials</t>
  </si>
  <si>
    <t>F3 Fail, F6 Fail, F8 Fail</t>
  </si>
  <si>
    <t>The profile is strong: deeply dislocated, near 3yr valuation lows, stabilizing momentum, near debt-free. F3 is the main concern — needs to demonstrate it can convert the revenue recovery into real returns.</t>
  </si>
  <si>
    <t>Fear event unlocking F8 while F3 improves would make this a high-conviction candidate</t>
  </si>
  <si>
    <t>AppFollo</t>
  </si>
  <si>
    <t>Software Application</t>
  </si>
  <si>
    <t>Watch very closley</t>
  </si>
  <si>
    <t>If all quality gates pass, waiting for a fear event and/or price reset to create an entry</t>
  </si>
  <si>
    <t>MEDIUM (10/12)</t>
  </si>
  <si>
    <t>Tradingview Factors</t>
  </si>
  <si>
    <t>The quality passes are a function of gold prices, not durable business economics</t>
  </si>
  <si>
    <t>Aris Mining</t>
  </si>
  <si>
    <t>The model's concern is legitimate: ARIS has run hard (+295% 12m momentum) and is priced at the top of its valuation range</t>
  </si>
  <si>
    <t>?</t>
  </si>
  <si>
    <t>Date</t>
  </si>
  <si>
    <t>Tier</t>
  </si>
  <si>
    <t>Action</t>
  </si>
  <si>
    <t>Position %</t>
  </si>
  <si>
    <t>Reason</t>
  </si>
  <si>
    <t>CF</t>
  </si>
  <si>
    <t>QVM</t>
  </si>
  <si>
    <t>BUY</t>
  </si>
  <si>
    <t>QVM rebalance - rank 1</t>
  </si>
  <si>
    <t>MU</t>
  </si>
  <si>
    <t>INCY</t>
  </si>
  <si>
    <t>GOOGL</t>
  </si>
  <si>
    <t>WDC</t>
  </si>
  <si>
    <t>LRCX</t>
  </si>
  <si>
    <t>PTC</t>
  </si>
  <si>
    <t>ARES</t>
  </si>
  <si>
    <t>MNST</t>
  </si>
  <si>
    <t>QVM rebalance - rank 2</t>
  </si>
  <si>
    <t>QVM rebalance - rank 3</t>
  </si>
  <si>
    <t>QVM rebalance - rank 4</t>
  </si>
  <si>
    <t>QVM rebalance - rank 5</t>
  </si>
  <si>
    <t>QVM rebalance - rank 6</t>
  </si>
  <si>
    <t>QVM rebalance - rank 7</t>
  </si>
  <si>
    <t>QVM rebalance - rank 8</t>
  </si>
  <si>
    <t>QVM rebalance - rank 9</t>
  </si>
  <si>
    <t>QVM rebalance - rank 10</t>
  </si>
  <si>
    <t>Next Rebalance</t>
  </si>
  <si>
    <t>End of June</t>
  </si>
  <si>
    <t>Entry Price</t>
  </si>
  <si>
    <t>Diagnose.py Result</t>
  </si>
  <si>
    <r>
      <t xml:space="preserve">Medium - 9/12
</t>
    </r>
    <r>
      <rPr>
        <sz val="10"/>
        <rFont val="Calibri"/>
        <family val="2"/>
        <scheme val="minor"/>
      </rPr>
      <t>No insider activity</t>
    </r>
  </si>
  <si>
    <r>
      <rPr>
        <sz val="11"/>
        <rFont val="Calibri"/>
        <family val="2"/>
        <scheme val="minor"/>
      </rPr>
      <t>High - 11/12</t>
    </r>
    <r>
      <rPr>
        <sz val="11"/>
        <color theme="8" tint="-0.249977111117893"/>
        <rFont val="Calibri"/>
        <family val="2"/>
        <scheme val="minor"/>
      </rPr>
      <t xml:space="preserve">
</t>
    </r>
    <r>
      <rPr>
        <sz val="10"/>
        <rFont val="Calibri"/>
        <family val="2"/>
        <scheme val="minor"/>
      </rPr>
      <t>No insider activity</t>
    </r>
  </si>
  <si>
    <t>PTC Inc</t>
  </si>
  <si>
    <t xml:space="preserve">F8 Fail </t>
  </si>
  <si>
    <t>F8 Pass</t>
  </si>
  <si>
    <t>Ares Management Corporation</t>
  </si>
  <si>
    <t>Financial Services</t>
  </si>
  <si>
    <t>F8 Fail</t>
  </si>
  <si>
    <t>2 insider purchases: 1 - +$59,726, 2 - +$1,266,100</t>
  </si>
  <si>
    <t>Next Earnings Report</t>
  </si>
  <si>
    <t>May 1st 2026</t>
  </si>
  <si>
    <t>June 19th 2026</t>
  </si>
  <si>
    <t>April 19th 2026</t>
  </si>
  <si>
    <t>In 5 days (sat)</t>
  </si>
  <si>
    <t>VIX needs to rise above 25 (currently 17.5) OR F&amp;G needs to drop below 35 (currently 68)</t>
  </si>
  <si>
    <t>PEG = 0.94 - F6 requires PEG to be &lt;2.0</t>
  </si>
  <si>
    <t>High (11/12)</t>
  </si>
  <si>
    <t>Position Size</t>
  </si>
  <si>
    <t>Risk ($3,000)</t>
  </si>
  <si>
    <r>
      <t xml:space="preserve">High - 11/12
</t>
    </r>
    <r>
      <rPr>
        <b/>
        <sz val="10"/>
        <color rgb="FF0070C0"/>
        <rFont val="Calibri"/>
        <family val="2"/>
        <scheme val="minor"/>
      </rPr>
      <t xml:space="preserve">2 insider purchases </t>
    </r>
  </si>
  <si>
    <r>
      <t xml:space="preserve">High - 11/12
</t>
    </r>
    <r>
      <rPr>
        <b/>
        <sz val="10"/>
        <color rgb="FF0070C0"/>
        <rFont val="Calibri"/>
        <family val="2"/>
        <scheme val="minor"/>
      </rPr>
      <t>1 insider purchase</t>
    </r>
  </si>
  <si>
    <t xml:space="preserve">3 Shares
</t>
  </si>
  <si>
    <t xml:space="preserve">1 Share
</t>
  </si>
  <si>
    <t xml:space="preserve">2 Shares
</t>
  </si>
  <si>
    <t xml:space="preserve">4 Shares
</t>
  </si>
  <si>
    <t>Position Value</t>
  </si>
  <si>
    <t>Current Price</t>
  </si>
  <si>
    <t>Crash Tier</t>
  </si>
  <si>
    <t>NKE</t>
  </si>
  <si>
    <t>F1, F12, F3, F8</t>
  </si>
  <si>
    <t>Down 72% from previous high 2021</t>
  </si>
  <si>
    <t>F8 → VIX needs to rise above 25 (currently 17.5) OR F&amp;G needs to drop below 35 (currently 68) 
F12 → Price needs to rise to $47.50 (within 10% of EMA50 at $52.77)</t>
  </si>
  <si>
    <t>Wait</t>
  </si>
  <si>
    <t>June 25th 2026</t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</si>
  <si>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Strong Sell
Daily time frame - Sell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</si>
  <si>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Sell
Daily time frame - Neutral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</si>
  <si>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Strong Buy
Daily time frame - Buy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</si>
  <si>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Buy
Daily time frame - Strong Buy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</si>
  <si>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Sell  
Daily time frame - Buy 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</si>
  <si>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Strong Buy  
Daily time frame - Strong Buy 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</si>
  <si>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 xml:space="preserve">Technicals:  </t>
    </r>
    <r>
      <rPr>
        <sz val="11"/>
        <color theme="1"/>
        <rFont val="Calibri"/>
        <family val="2"/>
        <scheme val="minor"/>
      </rPr>
      <t xml:space="preserve">
Daily time frame - Buy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</si>
  <si>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Buy  
Daily time frame - Sell 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</si>
  <si>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t>DO NOT ENTER (8/12)</t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</si>
  <si>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Daily time frame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rgb="FFC00000"/>
        <rFont val="Calibri"/>
        <family val="2"/>
        <scheme val="minor"/>
      </rPr>
      <t>Sell</t>
    </r>
    <r>
      <rPr>
        <b/>
        <sz val="11"/>
        <color theme="1"/>
        <rFont val="Calibri"/>
        <family val="2"/>
        <scheme val="minor"/>
      </rPr>
      <t xml:space="preserve">
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Neutral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</si>
  <si>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00B050"/>
        <rFont val="Calibri"/>
        <family val="2"/>
        <scheme val="minor"/>
      </rPr>
      <t>Strong 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</si>
  <si>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C00000"/>
        <rFont val="Calibri"/>
        <family val="2"/>
        <scheme val="minor"/>
      </rPr>
      <t>Sell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C00000"/>
        <rFont val="Calibri"/>
        <family val="2"/>
        <scheme val="minor"/>
      </rPr>
      <t>Sell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</si>
  <si>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C00000"/>
        <rFont val="Calibri"/>
        <family val="2"/>
        <scheme val="minor"/>
      </rPr>
      <t>Sell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theme="1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</t>
    </r>
    <r>
      <rPr>
        <b/>
        <sz val="11"/>
        <color rgb="FF00B050"/>
        <rFont val="Calibri"/>
        <family val="2"/>
        <scheme val="minor"/>
      </rPr>
      <t xml:space="preserve"> Buy</t>
    </r>
  </si>
  <si>
    <t>AU</t>
  </si>
  <si>
    <t>AXON</t>
  </si>
  <si>
    <t>F12, F8</t>
  </si>
  <si>
    <t>2 filter(s) need to change before this becomes a signal</t>
  </si>
  <si>
    <t>F11, F8, F9</t>
  </si>
  <si>
    <t>3 filter(s) need to change before this becomes a signal</t>
  </si>
  <si>
    <t>F1, F3, F8</t>
  </si>
  <si>
    <t>F8 → VIX needs to rise above 25 (currently 17.5) OR F&amp;G needs to drop below 35 (currently 68)</t>
  </si>
  <si>
    <t>F8 → VIX needs to rise above 25 (currently 17.5) OR F&amp;G needs to drop below 35 (currently 68)
    F9 → Price needs to fall to $34.31 (20% off 52w high of $42.89) or $29.12 (1.5 SD below 12m mean)</t>
  </si>
  <si>
    <t>BSX</t>
  </si>
  <si>
    <t>F3, F8</t>
  </si>
  <si>
    <t>EVR</t>
  </si>
  <si>
    <t>GFI</t>
  </si>
  <si>
    <t xml:space="preserve">F8 → VIX needs to rise above 25 (currently 17.5) OR F&amp;G needs to drop below 35 (currently 68)
F9 → Price needs to fall to $47.82 (20% off 52w high of $59.77) or $20.52 (1.5 SD below 12m mean)
</t>
  </si>
  <si>
    <t>F8 → VIX needs to rise above 25 (currently 17.5) OR F&amp;G needs to drop below 35 (currently 68)
 F9 → Price needs to fall to $305.71 (20% off 52w high of $382.14) or $232.15 (1.5 SD below 12m mean)</t>
  </si>
  <si>
    <t>F8 → VIX needs to rise above 25 (currently 17.5) OR F&amp;G needs to drop below 35 (currently 68)
F9 → Price needs to fall to $110.08 (20% off 52w high of $137.60) or $69.54 (1.5 SD below 12m mean)</t>
  </si>
  <si>
    <t>GRAB</t>
  </si>
  <si>
    <t>F3, F7, F8</t>
  </si>
  <si>
    <t xml:space="preserve"> F8 → VIX needs to rise above 25 (currently 17.5) OR F&amp;G needs to drop below 35 (currently 68)</t>
  </si>
  <si>
    <t>HL</t>
  </si>
  <si>
    <t>F11, F3, F8</t>
  </si>
  <si>
    <t>HUBS</t>
  </si>
  <si>
    <t>F12, F3, F8</t>
  </si>
  <si>
    <t>F8 → VIX needs to rise above 25 (currently 17.5) OR F&amp;G needs to drop below 35 (currently 68)
F12 → Price needs to rise to $228.50 (within 10% of EMA50 at $253.89)</t>
  </si>
  <si>
    <t>IAG</t>
  </si>
  <si>
    <t>F11, F8</t>
  </si>
  <si>
    <t>ISRG</t>
  </si>
  <si>
    <t>F11, F6, F8</t>
  </si>
  <si>
    <t>KGC</t>
  </si>
  <si>
    <t>F8 → VIX needs to rise above 25 (currently 17.5) OR F&amp;G needs to drop below 35 (currently 68)
F9 → Price needs to fall to $30.42 (20% off 52w high of $38.02) or $13.14 (1.5 SD below 12m mean)</t>
  </si>
  <si>
    <t>NBIX</t>
  </si>
  <si>
    <t>F3, F8, F9</t>
  </si>
  <si>
    <t>F8 → VIX needs to rise above 25 (currently 17.5) OR F&amp;G needs to drop below 35 (currently 68)
F9 → Price needs to fall to $124.50 (20% off 52w high of $155.63) or $117.33 (1.5 SD below 12m mean)</t>
  </si>
  <si>
    <t>ONON</t>
  </si>
  <si>
    <t>F8</t>
  </si>
  <si>
    <t>F8 → VIX needs to rise above 25 (currently 17.5) OR F&amp;G needs to drop below 35 (currently 68</t>
  </si>
  <si>
    <t>1 filter needS to change before this becomes a signal</t>
  </si>
  <si>
    <t>PODD</t>
  </si>
  <si>
    <t xml:space="preserve"> F8 → VIX needs to rise above 25 (currently 17.5) OR F&amp;G needs to drop below 35 (currently 68)
F12 → Price needs to rise to $204.78 (within 10% of EMA50 at $227.53)</t>
  </si>
  <si>
    <t>RDDT</t>
  </si>
  <si>
    <t>SCCO</t>
  </si>
  <si>
    <t>F8 → VIX needs to rise above 25 (currently 17.5) OR F&amp;G needs to drop below 35 (currently 68)
F9 → Price needs to fall to $175.08 (20% off 52w high of $218.85) or $69.87 (1.5 SD below 12m mean)</t>
  </si>
  <si>
    <t>SE</t>
  </si>
  <si>
    <t>SN</t>
  </si>
  <si>
    <t>F8 → VIX needs to rise above 25 (currently 17.5) OR F&amp;G needs to drop below 35 (currently 68)
F9 → Price needs to fall to $105.16 (20% off 52w high of $131.45) or $85.06 (1.5 SD below 12m mean)</t>
  </si>
  <si>
    <t>VEEV</t>
  </si>
  <si>
    <t>WTS</t>
  </si>
  <si>
    <t>F8 → VIX needs to rise above 25 (currently 17.5) OR F&amp;G needs to drop below 35 (currently 68)
F9 → Price needs to fall to $268.52 (20% off 52w high of $335.65) or $229.17 (1.5 SD below 12m mean)V</t>
  </si>
  <si>
    <t>Z</t>
  </si>
  <si>
    <t>Nike. Inc</t>
  </si>
  <si>
    <t xml:space="preserve">Atour Lifestyle Holdings </t>
  </si>
  <si>
    <t>Mega (200B+)</t>
  </si>
  <si>
    <t>Mid (2-10B)</t>
  </si>
  <si>
    <t>Large (10-200B)</t>
  </si>
  <si>
    <t>Crane NXT, Co.</t>
  </si>
  <si>
    <t>Dave Inc.</t>
  </si>
  <si>
    <t>F8 → VIX needs to rise above 25 (currently 17.5) OR F&amp;G needs to drop below 35 (currently 68)
F9 → Price needs to fall to $225.43 (20% off 52w high of $281.79) or $147.79 (1.5 SD below 12m mean)</t>
  </si>
  <si>
    <t>The Descartes Systems Group Inc.</t>
  </si>
  <si>
    <t>F3, F6, F8</t>
  </si>
  <si>
    <t>Duolingo, Inc.</t>
  </si>
  <si>
    <t>e.l.f. Beauty, Inc.</t>
  </si>
  <si>
    <t>F3, F8, F6</t>
  </si>
  <si>
    <t>F8 → VIX needs to rise above 25 (currently 17.5) OR F&amp;G needs to drop below 35 (currently 68)
F6 - PEG &lt;2.0 | current 2.85</t>
  </si>
  <si>
    <t>JFrog Ltd.</t>
  </si>
  <si>
    <t>Global-E Online Ltd.</t>
  </si>
  <si>
    <t>LEGN</t>
  </si>
  <si>
    <t>Legend Biotech Corporation</t>
  </si>
  <si>
    <t>LIF</t>
  </si>
  <si>
    <t>Life360, Inc.</t>
  </si>
  <si>
    <t>F8 → VIX needs to rise above 25 (currently 17.5) OR F&amp;G needs to drop below 35 (currently 68)
F6 - PEG &lt;2.0 | current 10.28</t>
  </si>
  <si>
    <t>MNDY</t>
  </si>
  <si>
    <t>monday.com Ltd.</t>
  </si>
  <si>
    <t>F8 → VIX needs to rise above 25 (currently 17.5) OR F&amp;G needs to drop below 35 (currently 68)
    F12 → Price needs to rise to $71.56 (within 10% of EMA50 at $79.52)</t>
  </si>
  <si>
    <t>F8 → VIX needs to rise above 25 (currently 17.5) OR F&amp;G needs to drop below 35 (currently 68)
    F9 → Price needs to fall to $30.36 (20% off 52w high of $37.95) or $27.25 (1.5 SD below 12m mean)</t>
  </si>
  <si>
    <t>Sezzle Inc.</t>
  </si>
  <si>
    <t xml:space="preserve">Financial </t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</si>
  <si>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00B050"/>
        <rFont val="Calibri"/>
        <family val="2"/>
        <scheme val="minor"/>
      </rPr>
      <t>Strong 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</si>
  <si>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C00000"/>
        <rFont val="Calibri"/>
        <family val="2"/>
        <scheme val="minor"/>
      </rPr>
      <t>Sell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</si>
  <si>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00B050"/>
        <rFont val="Calibri"/>
        <family val="2"/>
        <scheme val="minor"/>
      </rPr>
      <t>Strong 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</si>
  <si>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>Technicals:</t>
    </r>
    <r>
      <rPr>
        <sz val="11"/>
        <color theme="1"/>
        <rFont val="Calibri"/>
        <family val="2"/>
        <scheme val="minor"/>
      </rPr>
      <t xml:space="preserve"> 
Monthly time frame - </t>
    </r>
    <r>
      <rPr>
        <b/>
        <sz val="11"/>
        <color rgb="FF00B050"/>
        <rFont val="Calibri"/>
        <family val="2"/>
        <scheme val="minor"/>
      </rPr>
      <t>Strong 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Forcast 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rgb="FF00B050"/>
        <rFont val="Calibri"/>
        <family val="2"/>
        <scheme val="minor"/>
      </rPr>
      <t>Buy</t>
    </r>
  </si>
  <si>
    <r>
      <rPr>
        <b/>
        <sz val="11"/>
        <color theme="1"/>
        <rFont val="Calibri"/>
        <family val="2"/>
        <scheme val="minor"/>
      </rPr>
      <t xml:space="preserve">Technicals: 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Forcast 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rgb="FF00B050"/>
        <rFont val="Calibri"/>
        <family val="2"/>
        <scheme val="minor"/>
      </rPr>
      <t>Strong Buy</t>
    </r>
  </si>
  <si>
    <r>
      <rPr>
        <b/>
        <sz val="11"/>
        <color theme="1"/>
        <rFont val="Calibri"/>
        <family val="2"/>
        <scheme val="minor"/>
      </rPr>
      <t>Technicals:</t>
    </r>
    <r>
      <rPr>
        <sz val="11"/>
        <color theme="1"/>
        <rFont val="Calibri"/>
        <family val="2"/>
        <scheme val="minor"/>
      </rPr>
      <t xml:space="preserve"> 
Monthly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Buy</t>
    </r>
  </si>
  <si>
    <t xml:space="preserve">If it heals the EMA50 gap, it could score 11/12
Only the market timing gate (F8) </t>
  </si>
  <si>
    <r>
      <rPr>
        <b/>
        <sz val="11"/>
        <color theme="1"/>
        <rFont val="Calibri"/>
        <family val="2"/>
        <scheme val="minor"/>
      </rPr>
      <t xml:space="preserve">Technicals: </t>
    </r>
    <r>
      <rPr>
        <sz val="11"/>
        <color theme="1"/>
        <rFont val="Calibri"/>
        <family val="2"/>
        <scheme val="minor"/>
      </rPr>
      <t xml:space="preserve">
Monthly time frame - </t>
    </r>
    <r>
      <rPr>
        <b/>
        <sz val="11"/>
        <color rgb="FFC00000"/>
        <rFont val="Calibri"/>
        <family val="2"/>
        <scheme val="minor"/>
      </rPr>
      <t>Sell</t>
    </r>
    <r>
      <rPr>
        <sz val="11"/>
        <color theme="1"/>
        <rFont val="Calibri"/>
        <family val="2"/>
        <scheme val="minor"/>
      </rPr>
      <t xml:space="preserve">
Daily time frame - </t>
    </r>
    <r>
      <rPr>
        <b/>
        <sz val="11"/>
        <color rgb="FF00B050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Forcast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Strong Buy</t>
    </r>
  </si>
  <si>
    <t>Valuation (PEG)</t>
  </si>
  <si>
    <t xml:space="preserve">PEG = 0.65
Undervalued </t>
  </si>
  <si>
    <t>PEG = 0.94
Undervalued</t>
  </si>
  <si>
    <t>PEG = 0.76
Undervalued</t>
  </si>
  <si>
    <t xml:space="preserve">PEG = 0.77
Undervalued </t>
  </si>
  <si>
    <t xml:space="preserve">PEG = 0.87
Undervalued </t>
  </si>
  <si>
    <t>PEG = 0.29
Undervalued</t>
  </si>
  <si>
    <t>PEG = 0.33
Undervalued</t>
  </si>
  <si>
    <t>PEG = 0.42
Undervalued</t>
  </si>
  <si>
    <t>PEG = 0.52
Undervalued</t>
  </si>
  <si>
    <t>PEG = 0.63
Undervalued</t>
  </si>
  <si>
    <t>PEG = 0.35
Undervalued</t>
  </si>
  <si>
    <t>PEG = 0.43
Undervalued</t>
  </si>
  <si>
    <t>PEG = 0.47
Undervalued</t>
  </si>
  <si>
    <t>PEG = 0.46
Undervalued</t>
  </si>
  <si>
    <t>PEG = 0.83
Undervalued</t>
  </si>
  <si>
    <t>PEG = 0.61
Undervalued</t>
  </si>
  <si>
    <t>PEG = 0.27
Undervalued</t>
  </si>
  <si>
    <t>MEDIUM (11/12)</t>
  </si>
  <si>
    <t>Current 11/12 Rating</t>
  </si>
  <si>
    <t>Axon Enterprise, Inc</t>
  </si>
  <si>
    <t>On Holding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</si>
</sst>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0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14"/>
      <color theme="1"/>
      <name val="Calibri"/>
      <family val="2"/>
      <scheme val="minor"/>
    </font>
    <font>
      <sz val="10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 vertical="top"/>
    </xf>
    <xf numFmtId="0" fontId="4" fillId="9" borderId="0" xfId="0" applyFont="1" applyFill="1" applyAlignment="1">
      <alignment vertical="center"/>
    </xf>
    <xf numFmtId="0" fontId="0" fillId="8" borderId="0" xfId="0" applyFill="1"/>
    <xf numFmtId="0" fontId="0" fillId="8" borderId="0" xfId="0" applyFill="1" applyAlignment="1">
      <alignment horizontal="center" vertical="top"/>
    </xf>
    <xf numFmtId="0" fontId="0" fillId="11" borderId="0" xfId="0" applyFill="1"/>
    <xf numFmtId="0" fontId="8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16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9" fontId="0" fillId="0" borderId="0" xfId="0" applyNumberFormat="1" applyAlignment="1">
      <alignment horizontal="center" vertical="top"/>
    </xf>
    <xf numFmtId="8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14" borderId="0" xfId="0" applyFill="1" applyAlignment="1">
      <alignment horizontal="center" vertical="top"/>
    </xf>
    <xf numFmtId="0" fontId="0" fillId="14" borderId="0" xfId="0" applyFill="1" applyAlignment="1">
      <alignment horizontal="center" vertical="top" wrapText="1"/>
    </xf>
    <xf numFmtId="16" fontId="0" fillId="14" borderId="0" xfId="0" applyNumberFormat="1" applyFill="1" applyAlignment="1">
      <alignment horizontal="center" vertical="top"/>
    </xf>
    <xf numFmtId="8" fontId="0" fillId="14" borderId="0" xfId="0" applyNumberFormat="1" applyFill="1" applyAlignment="1">
      <alignment horizontal="center" vertical="top"/>
    </xf>
    <xf numFmtId="9" fontId="0" fillId="14" borderId="0" xfId="0" applyNumberFormat="1" applyFill="1" applyAlignment="1">
      <alignment horizontal="center" vertical="top"/>
    </xf>
    <xf numFmtId="0" fontId="14" fillId="14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9" fontId="16" fillId="14" borderId="0" xfId="0" applyNumberFormat="1" applyFont="1" applyFill="1" applyAlignment="1">
      <alignment horizontal="center" vertical="top"/>
    </xf>
    <xf numFmtId="9" fontId="16" fillId="0" borderId="0" xfId="0" applyNumberFormat="1" applyFont="1" applyAlignment="1">
      <alignment horizontal="center" vertical="top"/>
    </xf>
    <xf numFmtId="10" fontId="0" fillId="0" borderId="0" xfId="0" applyNumberFormat="1" applyAlignment="1">
      <alignment horizontal="center" vertical="top"/>
    </xf>
    <xf numFmtId="10" fontId="16" fillId="0" borderId="0" xfId="0" applyNumberFormat="1" applyFont="1" applyAlignment="1">
      <alignment horizontal="center" vertical="top"/>
    </xf>
    <xf numFmtId="10" fontId="0" fillId="14" borderId="0" xfId="0" applyNumberFormat="1" applyFill="1" applyAlignment="1">
      <alignment horizontal="center" vertical="top"/>
    </xf>
    <xf numFmtId="10" fontId="16" fillId="14" borderId="0" xfId="0" applyNumberFormat="1" applyFont="1" applyFill="1" applyAlignment="1">
      <alignment horizontal="center" vertical="top"/>
    </xf>
    <xf numFmtId="8" fontId="0" fillId="15" borderId="0" xfId="0" applyNumberFormat="1" applyFill="1" applyAlignment="1">
      <alignment horizontal="center" vertical="top"/>
    </xf>
    <xf numFmtId="8" fontId="0" fillId="16" borderId="0" xfId="0" applyNumberFormat="1" applyFill="1" applyAlignment="1">
      <alignment horizontal="center" vertical="top"/>
    </xf>
    <xf numFmtId="0" fontId="19" fillId="17" borderId="0" xfId="0" applyFont="1" applyFill="1" applyAlignment="1">
      <alignment horizontal="center" vertical="top"/>
    </xf>
    <xf numFmtId="0" fontId="0" fillId="11" borderId="0" xfId="0" applyFill="1" applyAlignment="1">
      <alignment horizontal="left" vertical="top"/>
    </xf>
    <xf numFmtId="0" fontId="0" fillId="11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8" fontId="0" fillId="7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8" fontId="0" fillId="11" borderId="0" xfId="0" applyNumberFormat="1" applyFill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8" fontId="0" fillId="13" borderId="0" xfId="0" applyNumberFormat="1" applyFill="1" applyAlignment="1">
      <alignment horizontal="center" vertical="center"/>
    </xf>
    <xf numFmtId="0" fontId="6" fillId="13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/>
    </xf>
    <xf numFmtId="16" fontId="0" fillId="11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18" borderId="0" xfId="0" applyFill="1"/>
    <xf numFmtId="0" fontId="0" fillId="14" borderId="0" xfId="0" applyFill="1"/>
    <xf numFmtId="0" fontId="5" fillId="11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9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8" fontId="0" fillId="19" borderId="0" xfId="0" applyNumberFormat="1" applyFill="1" applyAlignment="1">
      <alignment horizontal="center" vertical="center"/>
    </xf>
    <xf numFmtId="0" fontId="0" fillId="19" borderId="0" xfId="0" applyFill="1" applyAlignment="1">
      <alignment horizontal="left" vertical="top" wrapText="1"/>
    </xf>
    <xf numFmtId="0" fontId="0" fillId="19" borderId="0" xfId="0" applyFill="1" applyAlignment="1">
      <alignment horizontal="left" vertical="top"/>
    </xf>
    <xf numFmtId="8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8" fontId="0" fillId="0" borderId="0" xfId="0" applyNumberFormat="1"/>
    <xf numFmtId="8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left" vertical="top" wrapText="1"/>
    </xf>
  </cellXfs>
  <cellStyles count="1">
    <cellStyle name="Normal" xfId="0" builtinId="0"/>
  </cellStyles>
  <dxfs count="14"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  <alignment horizontal="left" vertical="top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>
    <mruColors>
      <color rgb="FFE5E87E"/>
      <color rgb="FFD1D88E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QVM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'QVM Portfolio'!$E$1</c:f>
              <c:strCache>
                <c:ptCount val="1"/>
                <c:pt idx="0">
                  <c:v>Entry Price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'QVM Portfolio'!$B$2:$B$11</c:f>
              <c:strCache>
                <c:ptCount val="10"/>
                <c:pt idx="0">
                  <c:v>CF</c:v>
                </c:pt>
                <c:pt idx="1">
                  <c:v>MU</c:v>
                </c:pt>
                <c:pt idx="2">
                  <c:v>INCY</c:v>
                </c:pt>
                <c:pt idx="3">
                  <c:v>GOOGL</c:v>
                </c:pt>
                <c:pt idx="4">
                  <c:v>WDC</c:v>
                </c:pt>
                <c:pt idx="5">
                  <c:v>LRCX</c:v>
                </c:pt>
                <c:pt idx="6">
                  <c:v>PTC</c:v>
                </c:pt>
                <c:pt idx="7">
                  <c:v>ARES</c:v>
                </c:pt>
                <c:pt idx="8">
                  <c:v>MSFT</c:v>
                </c:pt>
                <c:pt idx="9">
                  <c:v>MNST</c:v>
                </c:pt>
              </c:strCache>
            </c:strRef>
          </c:cat>
          <c:val>
            <c:numRef>
              <c:f>'QVM Portfolio'!$E$2:$E$11</c:f>
              <c:numCache>
                <c:formatCode>"$"#,##0.00_);[Red]\("$"#,##0.00\)</c:formatCode>
                <c:ptCount val="10"/>
                <c:pt idx="0">
                  <c:v>112.68</c:v>
                </c:pt>
                <c:pt idx="1">
                  <c:v>453.55</c:v>
                </c:pt>
                <c:pt idx="2">
                  <c:v>97.35</c:v>
                </c:pt>
                <c:pt idx="3">
                  <c:v>338.45</c:v>
                </c:pt>
                <c:pt idx="4">
                  <c:v>372.52</c:v>
                </c:pt>
                <c:pt idx="5">
                  <c:v>267.49</c:v>
                </c:pt>
                <c:pt idx="6">
                  <c:v>139.74</c:v>
                </c:pt>
                <c:pt idx="7">
                  <c:v>119.94</c:v>
                </c:pt>
                <c:pt idx="8">
                  <c:v>422.53</c:v>
                </c:pt>
                <c:pt idx="9">
                  <c:v>76.78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F-4069-8DB9-B38F243FA67F}"/>
            </c:ext>
          </c:extLst>
        </c:ser>
        <c:ser>
          <c:idx val="1"/>
          <c:order val="1"/>
          <c:tx>
            <c:strRef>
              <c:f>'QVM Portfolio'!$F$1</c:f>
              <c:strCache>
                <c:ptCount val="1"/>
                <c:pt idx="0">
                  <c:v>Current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'QVM Portfolio'!$B$2:$B$11</c:f>
              <c:strCache>
                <c:ptCount val="10"/>
                <c:pt idx="0">
                  <c:v>CF</c:v>
                </c:pt>
                <c:pt idx="1">
                  <c:v>MU</c:v>
                </c:pt>
                <c:pt idx="2">
                  <c:v>INCY</c:v>
                </c:pt>
                <c:pt idx="3">
                  <c:v>GOOGL</c:v>
                </c:pt>
                <c:pt idx="4">
                  <c:v>WDC</c:v>
                </c:pt>
                <c:pt idx="5">
                  <c:v>LRCX</c:v>
                </c:pt>
                <c:pt idx="6">
                  <c:v>PTC</c:v>
                </c:pt>
                <c:pt idx="7">
                  <c:v>ARES</c:v>
                </c:pt>
                <c:pt idx="8">
                  <c:v>MSFT</c:v>
                </c:pt>
                <c:pt idx="9">
                  <c:v>MNST</c:v>
                </c:pt>
              </c:strCache>
            </c:strRef>
          </c:cat>
          <c:val>
            <c:numRef>
              <c:f>'QVM Portfolio'!$F$2:$F$11</c:f>
              <c:numCache>
                <c:formatCode>"$"#,##0.00_);[Red]\("$"#,##0.00\)</c:formatCode>
                <c:ptCount val="10"/>
                <c:pt idx="0">
                  <c:v>120.94</c:v>
                </c:pt>
                <c:pt idx="1">
                  <c:v>483.14</c:v>
                </c:pt>
                <c:pt idx="2">
                  <c:v>96.76</c:v>
                </c:pt>
                <c:pt idx="3">
                  <c:v>336.61</c:v>
                </c:pt>
                <c:pt idx="4">
                  <c:v>389.3</c:v>
                </c:pt>
                <c:pt idx="5">
                  <c:v>262.67</c:v>
                </c:pt>
                <c:pt idx="6">
                  <c:v>140.15</c:v>
                </c:pt>
                <c:pt idx="7">
                  <c:v>121</c:v>
                </c:pt>
                <c:pt idx="8">
                  <c:v>430.98</c:v>
                </c:pt>
                <c:pt idx="9">
                  <c:v>75.64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F-4069-8DB9-B38F243FA67F}"/>
            </c:ext>
          </c:extLst>
        </c:ser>
        <c:ser>
          <c:idx val="2"/>
          <c:order val="2"/>
          <c:tx>
            <c:strRef>
              <c:f>'QVM Portfolio'!$K$1</c:f>
              <c:strCache>
                <c:ptCount val="1"/>
                <c:pt idx="0">
                  <c:v>Position Value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'QVM Portfolio'!$B$2:$B$11</c:f>
              <c:strCache>
                <c:ptCount val="10"/>
                <c:pt idx="0">
                  <c:v>CF</c:v>
                </c:pt>
                <c:pt idx="1">
                  <c:v>MU</c:v>
                </c:pt>
                <c:pt idx="2">
                  <c:v>INCY</c:v>
                </c:pt>
                <c:pt idx="3">
                  <c:v>GOOGL</c:v>
                </c:pt>
                <c:pt idx="4">
                  <c:v>WDC</c:v>
                </c:pt>
                <c:pt idx="5">
                  <c:v>LRCX</c:v>
                </c:pt>
                <c:pt idx="6">
                  <c:v>PTC</c:v>
                </c:pt>
                <c:pt idx="7">
                  <c:v>ARES</c:v>
                </c:pt>
                <c:pt idx="8">
                  <c:v>MSFT</c:v>
                </c:pt>
                <c:pt idx="9">
                  <c:v>MNST</c:v>
                </c:pt>
              </c:strCache>
            </c:strRef>
          </c:cat>
          <c:val>
            <c:numRef>
              <c:f>'QVM Portfolio'!$K$2:$K$11</c:f>
              <c:numCache>
                <c:formatCode>"$"#,##0.00_);[Red]\("$"#,##0.00\)</c:formatCode>
                <c:ptCount val="10"/>
                <c:pt idx="0">
                  <c:v>362.82</c:v>
                </c:pt>
                <c:pt idx="1">
                  <c:v>483.14</c:v>
                </c:pt>
                <c:pt idx="2">
                  <c:v>290.27999999999997</c:v>
                </c:pt>
                <c:pt idx="3">
                  <c:v>336.61</c:v>
                </c:pt>
                <c:pt idx="4">
                  <c:v>389.3</c:v>
                </c:pt>
                <c:pt idx="5">
                  <c:v>262.67</c:v>
                </c:pt>
                <c:pt idx="6">
                  <c:v>280.3</c:v>
                </c:pt>
                <c:pt idx="7">
                  <c:v>363</c:v>
                </c:pt>
                <c:pt idx="8">
                  <c:v>430.98</c:v>
                </c:pt>
                <c:pt idx="9">
                  <c:v>302.56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F-4069-8DB9-B38F243FA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579616"/>
        <c:axId val="1346578656"/>
      </c:barChart>
      <c:catAx>
        <c:axId val="13465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78656"/>
        <c:crosses val="autoZero"/>
        <c:auto val="1"/>
        <c:lblAlgn val="ctr"/>
        <c:lblOffset val="100"/>
        <c:noMultiLvlLbl val="0"/>
      </c:catAx>
      <c:valAx>
        <c:axId val="13465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171450</xdr:rowOff>
    </xdr:from>
    <xdr:to>
      <xdr:col>11</xdr:col>
      <xdr:colOff>9525</xdr:colOff>
      <xdr:row>27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4F3D52-DF6D-9A92-3946-CB7CD646C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A1D13-7BFD-4EE6-B05A-2F237E454769}" name="Table1" displayName="Table1" ref="A1:N51" totalsRowShown="0">
  <autoFilter ref="A1:N51" xr:uid="{59CA1D13-7BFD-4EE6-B05A-2F237E454769}"/>
  <tableColumns count="14">
    <tableColumn id="1" xr3:uid="{BCBB7075-FFC3-4B3D-B3E0-742446B8353E}" name="High Priority Watch List" dataDxfId="13"/>
    <tableColumn id="2" xr3:uid="{AF0586F9-F4CF-45F1-9DE7-CE06E4EF8CF1}" name="Ticker" dataDxfId="12"/>
    <tableColumn id="3" xr3:uid="{DE421112-B649-41CA-80C5-A58E1A8E4808}" name="Company " dataDxfId="11"/>
    <tableColumn id="4" xr3:uid="{4D0A1D71-DF64-4E95-ADE1-2E84C02A50B7}" name="Price" dataDxfId="10"/>
    <tableColumn id="13" xr3:uid="{140AB2C4-2605-4C59-A70A-902B40E5DFB2}" name="Market Cap" dataDxfId="9"/>
    <tableColumn id="14" xr3:uid="{EFD63BAC-7E29-4F6F-A48F-0DFBDD86A48B}" name="Valuation (PEG)" dataDxfId="0"/>
    <tableColumn id="5" xr3:uid="{E6E566B9-1CAF-4A0B-8913-1DC91B540038}" name="Sector" dataDxfId="8"/>
    <tableColumn id="6" xr3:uid="{B74D1C84-8338-47AC-AA0E-AF769C4DB1B1}" name="Rating" dataDxfId="7"/>
    <tableColumn id="7" xr3:uid="{6F44065E-FF8F-4993-BA2C-1928B72AED53}" name="Rating Reason" dataDxfId="6"/>
    <tableColumn id="8" xr3:uid="{E1BDDB43-449C-4034-964D-0E4067A8DD2E}" name="Notes" dataDxfId="5"/>
    <tableColumn id="9" xr3:uid="{7A6814D1-B328-40C6-A854-DD6E8E8129DC}" name="Trigger" dataDxfId="4"/>
    <tableColumn id="10" xr3:uid="{8FBA1708-31CE-4EAE-A49E-225B768C937E}" name="Course of Action" dataDxfId="3"/>
    <tableColumn id="11" xr3:uid="{EB0D2F4F-1080-4595-A71C-D9226553E732}" name="Tradingview Factors" dataDxfId="2"/>
    <tableColumn id="12" xr3:uid="{1AB7C3A8-0493-4405-AEC4-8076F7C0C43F}" name="Next Earnings Repor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workbookViewId="0">
      <selection activeCell="B19" sqref="B19"/>
    </sheetView>
  </sheetViews>
  <sheetFormatPr defaultRowHeight="15" x14ac:dyDescent="0.25"/>
  <cols>
    <col min="1" max="1" width="74" customWidth="1"/>
    <col min="3" max="3" width="40.140625" bestFit="1" customWidth="1"/>
    <col min="4" max="4" width="23.140625" bestFit="1" customWidth="1"/>
    <col min="5" max="5" width="38.140625" bestFit="1" customWidth="1"/>
    <col min="6" max="6" width="15.42578125" bestFit="1" customWidth="1"/>
    <col min="7" max="7" width="11.140625" bestFit="1" customWidth="1"/>
    <col min="8" max="8" width="7" bestFit="1" customWidth="1"/>
  </cols>
  <sheetData>
    <row r="1" spans="1:8" ht="18.75" x14ac:dyDescent="0.3">
      <c r="A1" s="4" t="s">
        <v>0</v>
      </c>
    </row>
    <row r="2" spans="1:8" x14ac:dyDescent="0.25">
      <c r="A2" s="2" t="s">
        <v>1</v>
      </c>
    </row>
    <row r="3" spans="1:8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25">
      <c r="A4">
        <v>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26.87</v>
      </c>
    </row>
    <row r="5" spans="1:8" x14ac:dyDescent="0.25">
      <c r="A5">
        <v>2</v>
      </c>
      <c r="B5" t="s">
        <v>16</v>
      </c>
      <c r="C5" t="s">
        <v>17</v>
      </c>
      <c r="D5" t="s">
        <v>18</v>
      </c>
      <c r="E5" t="s">
        <v>19</v>
      </c>
      <c r="F5" t="s">
        <v>14</v>
      </c>
      <c r="G5" t="s">
        <v>20</v>
      </c>
      <c r="H5">
        <v>9.6999999999999993</v>
      </c>
    </row>
    <row r="6" spans="1:8" x14ac:dyDescent="0.25">
      <c r="A6">
        <v>3</v>
      </c>
      <c r="B6" t="s">
        <v>21</v>
      </c>
      <c r="C6" t="s">
        <v>22</v>
      </c>
      <c r="D6" t="s">
        <v>12</v>
      </c>
      <c r="E6" t="s">
        <v>23</v>
      </c>
      <c r="F6" t="s">
        <v>14</v>
      </c>
      <c r="G6" t="s">
        <v>24</v>
      </c>
      <c r="H6">
        <v>37.5</v>
      </c>
    </row>
    <row r="7" spans="1:8" x14ac:dyDescent="0.25">
      <c r="A7">
        <v>4</v>
      </c>
      <c r="B7" t="s">
        <v>25</v>
      </c>
      <c r="C7" t="s">
        <v>26</v>
      </c>
      <c r="D7" t="s">
        <v>12</v>
      </c>
      <c r="E7" t="s">
        <v>27</v>
      </c>
      <c r="F7" t="s">
        <v>14</v>
      </c>
      <c r="G7" t="s">
        <v>20</v>
      </c>
      <c r="H7">
        <v>52.78</v>
      </c>
    </row>
    <row r="8" spans="1:8" x14ac:dyDescent="0.25">
      <c r="A8">
        <v>5</v>
      </c>
      <c r="B8" s="59" t="s">
        <v>28</v>
      </c>
      <c r="C8" t="s">
        <v>29</v>
      </c>
      <c r="D8" t="s">
        <v>12</v>
      </c>
      <c r="E8" t="s">
        <v>13</v>
      </c>
      <c r="F8" t="s">
        <v>14</v>
      </c>
      <c r="G8" t="s">
        <v>30</v>
      </c>
      <c r="H8">
        <v>143.34</v>
      </c>
    </row>
    <row r="9" spans="1:8" x14ac:dyDescent="0.25">
      <c r="A9">
        <v>6</v>
      </c>
      <c r="B9" s="5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20.74</v>
      </c>
    </row>
    <row r="10" spans="1:8" x14ac:dyDescent="0.25">
      <c r="A10">
        <v>7</v>
      </c>
      <c r="B10" s="58" t="s">
        <v>37</v>
      </c>
      <c r="C10" t="s">
        <v>38</v>
      </c>
      <c r="D10" t="s">
        <v>18</v>
      </c>
      <c r="E10" t="s">
        <v>19</v>
      </c>
      <c r="F10" t="s">
        <v>14</v>
      </c>
      <c r="G10" t="s">
        <v>39</v>
      </c>
      <c r="H10">
        <v>24.21</v>
      </c>
    </row>
    <row r="11" spans="1:8" x14ac:dyDescent="0.25">
      <c r="A11">
        <v>8</v>
      </c>
      <c r="B11" s="58" t="s">
        <v>40</v>
      </c>
      <c r="C11" t="s">
        <v>41</v>
      </c>
      <c r="D11" t="s">
        <v>42</v>
      </c>
      <c r="E11" t="s">
        <v>43</v>
      </c>
      <c r="F11" t="s">
        <v>44</v>
      </c>
      <c r="G11" s="6" t="s">
        <v>45</v>
      </c>
      <c r="H11" s="7">
        <v>347.61</v>
      </c>
    </row>
    <row r="12" spans="1:8" x14ac:dyDescent="0.25">
      <c r="A12">
        <v>9</v>
      </c>
      <c r="B12" s="59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>
        <v>36.130000000000003</v>
      </c>
    </row>
    <row r="13" spans="1:8" x14ac:dyDescent="0.25">
      <c r="A13">
        <v>10</v>
      </c>
      <c r="B13" s="8" t="s">
        <v>52</v>
      </c>
      <c r="C13" t="s">
        <v>53</v>
      </c>
      <c r="D13" t="s">
        <v>18</v>
      </c>
      <c r="E13" t="s">
        <v>19</v>
      </c>
      <c r="F13" t="s">
        <v>35</v>
      </c>
      <c r="G13" t="s">
        <v>54</v>
      </c>
      <c r="H13">
        <v>15.76</v>
      </c>
    </row>
    <row r="14" spans="1:8" x14ac:dyDescent="0.25">
      <c r="A14">
        <v>11</v>
      </c>
      <c r="B14" s="58" t="s">
        <v>55</v>
      </c>
      <c r="C14" t="s">
        <v>56</v>
      </c>
      <c r="D14" t="s">
        <v>18</v>
      </c>
      <c r="E14" t="s">
        <v>19</v>
      </c>
      <c r="F14" t="s">
        <v>14</v>
      </c>
      <c r="G14" t="s">
        <v>57</v>
      </c>
      <c r="H14">
        <v>27.43</v>
      </c>
    </row>
    <row r="15" spans="1:8" x14ac:dyDescent="0.25">
      <c r="A15">
        <v>12</v>
      </c>
      <c r="B15" s="59" t="s">
        <v>58</v>
      </c>
      <c r="C15" t="s">
        <v>59</v>
      </c>
      <c r="D15" t="s">
        <v>48</v>
      </c>
      <c r="E15" t="s">
        <v>60</v>
      </c>
      <c r="F15" t="s">
        <v>61</v>
      </c>
      <c r="G15" t="s">
        <v>62</v>
      </c>
      <c r="H15">
        <v>38.03</v>
      </c>
    </row>
    <row r="16" spans="1:8" x14ac:dyDescent="0.25">
      <c r="A16">
        <v>13</v>
      </c>
      <c r="B16" s="58" t="s">
        <v>63</v>
      </c>
      <c r="C16" t="s">
        <v>64</v>
      </c>
      <c r="D16" t="s">
        <v>18</v>
      </c>
      <c r="E16" t="s">
        <v>65</v>
      </c>
      <c r="F16" t="s">
        <v>14</v>
      </c>
      <c r="G16" t="s">
        <v>66</v>
      </c>
      <c r="H16">
        <v>81.13</v>
      </c>
    </row>
    <row r="17" spans="1:8" x14ac:dyDescent="0.25">
      <c r="A17">
        <v>14</v>
      </c>
      <c r="B17" s="8" t="s">
        <v>67</v>
      </c>
      <c r="C17" t="s">
        <v>68</v>
      </c>
      <c r="D17" t="s">
        <v>33</v>
      </c>
      <c r="E17" t="s">
        <v>69</v>
      </c>
      <c r="F17" t="s">
        <v>70</v>
      </c>
      <c r="G17" s="6" t="s">
        <v>71</v>
      </c>
      <c r="H17">
        <v>37.770000000000003</v>
      </c>
    </row>
    <row r="18" spans="1:8" x14ac:dyDescent="0.25">
      <c r="A18">
        <v>15</v>
      </c>
      <c r="B18" s="58" t="s">
        <v>72</v>
      </c>
      <c r="C18" t="s">
        <v>73</v>
      </c>
      <c r="D18" t="s">
        <v>74</v>
      </c>
      <c r="E18" t="s">
        <v>75</v>
      </c>
      <c r="F18" t="s">
        <v>50</v>
      </c>
      <c r="G18" t="s">
        <v>76</v>
      </c>
      <c r="H18">
        <v>13.05</v>
      </c>
    </row>
    <row r="19" spans="1:8" x14ac:dyDescent="0.25">
      <c r="A19">
        <v>16</v>
      </c>
      <c r="B19" t="s">
        <v>77</v>
      </c>
      <c r="C19" t="s">
        <v>78</v>
      </c>
      <c r="D19" t="s">
        <v>18</v>
      </c>
      <c r="E19" t="s">
        <v>19</v>
      </c>
      <c r="F19" t="s">
        <v>14</v>
      </c>
      <c r="G19" t="s">
        <v>79</v>
      </c>
      <c r="H19">
        <v>18.05</v>
      </c>
    </row>
    <row r="20" spans="1:8" x14ac:dyDescent="0.25">
      <c r="A20">
        <v>17</v>
      </c>
      <c r="B20" t="s">
        <v>80</v>
      </c>
      <c r="C20" t="s">
        <v>81</v>
      </c>
      <c r="D20" t="s">
        <v>12</v>
      </c>
      <c r="E20" t="s">
        <v>82</v>
      </c>
      <c r="F20" t="s">
        <v>14</v>
      </c>
      <c r="G20" t="s">
        <v>83</v>
      </c>
      <c r="H20">
        <v>47.73</v>
      </c>
    </row>
    <row r="21" spans="1:8" x14ac:dyDescent="0.25">
      <c r="A21">
        <v>18</v>
      </c>
      <c r="B21" t="s">
        <v>84</v>
      </c>
      <c r="C21" t="s">
        <v>85</v>
      </c>
      <c r="D21" t="s">
        <v>12</v>
      </c>
      <c r="E21" t="s">
        <v>13</v>
      </c>
      <c r="F21" t="s">
        <v>14</v>
      </c>
      <c r="G21" t="s">
        <v>86</v>
      </c>
      <c r="H21">
        <v>19.61</v>
      </c>
    </row>
    <row r="22" spans="1:8" x14ac:dyDescent="0.25">
      <c r="A22">
        <v>19</v>
      </c>
      <c r="B22" t="s">
        <v>87</v>
      </c>
      <c r="C22" t="s">
        <v>88</v>
      </c>
      <c r="D22" t="s">
        <v>12</v>
      </c>
      <c r="E22" t="s">
        <v>82</v>
      </c>
      <c r="F22" t="s">
        <v>89</v>
      </c>
      <c r="G22" t="s">
        <v>90</v>
      </c>
      <c r="H22">
        <v>11.03</v>
      </c>
    </row>
    <row r="23" spans="1:8" x14ac:dyDescent="0.25">
      <c r="A23">
        <v>20</v>
      </c>
      <c r="B23" t="s">
        <v>91</v>
      </c>
      <c r="C23" t="s">
        <v>92</v>
      </c>
      <c r="D23" t="s">
        <v>42</v>
      </c>
      <c r="E23" t="s">
        <v>93</v>
      </c>
      <c r="F23" t="s">
        <v>14</v>
      </c>
      <c r="G23" t="s">
        <v>94</v>
      </c>
      <c r="H23" s="7">
        <v>290.54000000000002</v>
      </c>
    </row>
    <row r="24" spans="1:8" x14ac:dyDescent="0.25">
      <c r="A24">
        <v>21</v>
      </c>
      <c r="B24" t="s">
        <v>95</v>
      </c>
      <c r="C24" t="s">
        <v>96</v>
      </c>
      <c r="D24" t="s">
        <v>97</v>
      </c>
      <c r="E24" t="s">
        <v>98</v>
      </c>
      <c r="F24" t="s">
        <v>14</v>
      </c>
      <c r="G24" s="6" t="s">
        <v>99</v>
      </c>
      <c r="H24">
        <v>39.69</v>
      </c>
    </row>
    <row r="25" spans="1:8" x14ac:dyDescent="0.25">
      <c r="A25">
        <v>22</v>
      </c>
      <c r="B25" t="s">
        <v>100</v>
      </c>
      <c r="C25" t="s">
        <v>101</v>
      </c>
      <c r="D25" t="s">
        <v>12</v>
      </c>
      <c r="E25" t="s">
        <v>13</v>
      </c>
      <c r="F25" t="s">
        <v>14</v>
      </c>
      <c r="G25" t="s">
        <v>102</v>
      </c>
      <c r="H25">
        <v>24</v>
      </c>
    </row>
    <row r="26" spans="1:8" x14ac:dyDescent="0.25">
      <c r="A26">
        <v>23</v>
      </c>
      <c r="B26" t="s">
        <v>103</v>
      </c>
      <c r="C26" t="s">
        <v>104</v>
      </c>
      <c r="D26" t="s">
        <v>42</v>
      </c>
      <c r="E26" t="s">
        <v>93</v>
      </c>
      <c r="F26" t="s">
        <v>14</v>
      </c>
      <c r="G26" t="s">
        <v>105</v>
      </c>
      <c r="H26">
        <v>43.88</v>
      </c>
    </row>
    <row r="27" spans="1:8" x14ac:dyDescent="0.25">
      <c r="A27">
        <v>24</v>
      </c>
      <c r="B27" t="s">
        <v>106</v>
      </c>
      <c r="C27" t="s">
        <v>107</v>
      </c>
      <c r="D27" t="s">
        <v>12</v>
      </c>
      <c r="E27" t="s">
        <v>13</v>
      </c>
      <c r="F27" t="s">
        <v>14</v>
      </c>
      <c r="G27" t="s">
        <v>108</v>
      </c>
      <c r="H27">
        <v>185.41</v>
      </c>
    </row>
    <row r="28" spans="1:8" x14ac:dyDescent="0.25">
      <c r="A28">
        <v>25</v>
      </c>
      <c r="B28" t="s">
        <v>109</v>
      </c>
      <c r="C28" t="s">
        <v>110</v>
      </c>
      <c r="D28" t="s">
        <v>18</v>
      </c>
      <c r="E28" t="s">
        <v>19</v>
      </c>
      <c r="F28" t="s">
        <v>14</v>
      </c>
      <c r="G28" t="s">
        <v>111</v>
      </c>
      <c r="H28">
        <v>21.47</v>
      </c>
    </row>
    <row r="29" spans="1:8" x14ac:dyDescent="0.25">
      <c r="A29">
        <v>26</v>
      </c>
      <c r="B29" t="s">
        <v>112</v>
      </c>
      <c r="C29" t="s">
        <v>113</v>
      </c>
      <c r="D29" t="s">
        <v>33</v>
      </c>
      <c r="E29" t="s">
        <v>34</v>
      </c>
      <c r="F29" t="s">
        <v>114</v>
      </c>
      <c r="G29" t="s">
        <v>115</v>
      </c>
      <c r="H29">
        <v>31.95</v>
      </c>
    </row>
    <row r="30" spans="1:8" x14ac:dyDescent="0.25">
      <c r="A30">
        <v>27</v>
      </c>
      <c r="B30" t="s">
        <v>116</v>
      </c>
      <c r="C30" t="s">
        <v>117</v>
      </c>
      <c r="D30" t="s">
        <v>12</v>
      </c>
      <c r="E30" t="s">
        <v>13</v>
      </c>
      <c r="F30" t="s">
        <v>35</v>
      </c>
      <c r="G30" t="s">
        <v>118</v>
      </c>
      <c r="H30">
        <v>63.08</v>
      </c>
    </row>
    <row r="31" spans="1:8" x14ac:dyDescent="0.25">
      <c r="A31">
        <v>28</v>
      </c>
      <c r="B31" t="s">
        <v>119</v>
      </c>
      <c r="C31" t="s">
        <v>120</v>
      </c>
      <c r="D31" t="s">
        <v>12</v>
      </c>
      <c r="E31" t="s">
        <v>13</v>
      </c>
      <c r="F31" t="s">
        <v>14</v>
      </c>
      <c r="G31" t="s">
        <v>121</v>
      </c>
      <c r="H31">
        <v>90.03</v>
      </c>
    </row>
    <row r="32" spans="1:8" x14ac:dyDescent="0.25">
      <c r="A32">
        <v>29</v>
      </c>
      <c r="B32" t="s">
        <v>122</v>
      </c>
      <c r="C32" t="s">
        <v>123</v>
      </c>
      <c r="D32" t="s">
        <v>33</v>
      </c>
      <c r="E32" t="s">
        <v>34</v>
      </c>
      <c r="F32" t="s">
        <v>35</v>
      </c>
      <c r="G32" t="s">
        <v>124</v>
      </c>
      <c r="H32">
        <v>36.46</v>
      </c>
    </row>
    <row r="33" spans="1:8" x14ac:dyDescent="0.25">
      <c r="A33">
        <v>30</v>
      </c>
      <c r="B33" t="s">
        <v>125</v>
      </c>
      <c r="C33" t="s">
        <v>126</v>
      </c>
      <c r="D33" t="s">
        <v>127</v>
      </c>
      <c r="E33" t="s">
        <v>128</v>
      </c>
      <c r="F33" t="s">
        <v>14</v>
      </c>
      <c r="G33" t="s">
        <v>129</v>
      </c>
      <c r="H33">
        <v>65.13</v>
      </c>
    </row>
    <row r="34" spans="1:8" x14ac:dyDescent="0.25">
      <c r="A34">
        <v>31</v>
      </c>
      <c r="B34" t="s">
        <v>130</v>
      </c>
      <c r="C34" t="s">
        <v>131</v>
      </c>
      <c r="D34" t="s">
        <v>97</v>
      </c>
      <c r="E34" t="s">
        <v>132</v>
      </c>
      <c r="F34" t="s">
        <v>14</v>
      </c>
      <c r="G34" t="s">
        <v>133</v>
      </c>
      <c r="H34">
        <v>32.54</v>
      </c>
    </row>
    <row r="35" spans="1:8" x14ac:dyDescent="0.25">
      <c r="A35">
        <v>32</v>
      </c>
      <c r="B35" t="s">
        <v>134</v>
      </c>
      <c r="C35" t="s">
        <v>135</v>
      </c>
      <c r="D35" t="s">
        <v>12</v>
      </c>
      <c r="E35" t="s">
        <v>13</v>
      </c>
      <c r="F35" t="s">
        <v>14</v>
      </c>
      <c r="G35" t="s">
        <v>136</v>
      </c>
      <c r="H35">
        <v>43.3</v>
      </c>
    </row>
    <row r="36" spans="1:8" x14ac:dyDescent="0.25">
      <c r="A36">
        <v>33</v>
      </c>
      <c r="B36" t="s">
        <v>137</v>
      </c>
      <c r="C36" t="s">
        <v>138</v>
      </c>
      <c r="D36" t="s">
        <v>12</v>
      </c>
      <c r="E36" t="s">
        <v>13</v>
      </c>
      <c r="F36" t="s">
        <v>14</v>
      </c>
      <c r="G36" s="6" t="s">
        <v>139</v>
      </c>
      <c r="H36">
        <v>18.16</v>
      </c>
    </row>
    <row r="37" spans="1:8" x14ac:dyDescent="0.25">
      <c r="A37">
        <v>34</v>
      </c>
      <c r="B37" t="s">
        <v>140</v>
      </c>
      <c r="C37" t="s">
        <v>141</v>
      </c>
      <c r="D37" t="s">
        <v>48</v>
      </c>
      <c r="E37" t="s">
        <v>142</v>
      </c>
      <c r="F37" t="s">
        <v>14</v>
      </c>
      <c r="G37" t="s">
        <v>143</v>
      </c>
      <c r="H37">
        <v>14.22</v>
      </c>
    </row>
    <row r="38" spans="1:8" x14ac:dyDescent="0.25">
      <c r="A38">
        <v>35</v>
      </c>
      <c r="B38" t="s">
        <v>144</v>
      </c>
      <c r="C38" t="s">
        <v>145</v>
      </c>
      <c r="D38" t="s">
        <v>12</v>
      </c>
      <c r="E38" t="s">
        <v>13</v>
      </c>
      <c r="F38" t="s">
        <v>14</v>
      </c>
      <c r="G38" t="s">
        <v>146</v>
      </c>
      <c r="H38">
        <v>43.22</v>
      </c>
    </row>
    <row r="39" spans="1:8" x14ac:dyDescent="0.25">
      <c r="A39">
        <v>36</v>
      </c>
      <c r="B39" t="s">
        <v>147</v>
      </c>
      <c r="C39" t="s">
        <v>148</v>
      </c>
      <c r="D39" t="s">
        <v>12</v>
      </c>
      <c r="E39" t="s">
        <v>13</v>
      </c>
      <c r="F39" t="s">
        <v>14</v>
      </c>
      <c r="G39" t="s">
        <v>149</v>
      </c>
      <c r="H39">
        <v>23.07</v>
      </c>
    </row>
    <row r="40" spans="1:8" x14ac:dyDescent="0.25">
      <c r="A40">
        <v>37</v>
      </c>
      <c r="B40" t="s">
        <v>150</v>
      </c>
      <c r="C40" t="s">
        <v>151</v>
      </c>
      <c r="D40" t="s">
        <v>18</v>
      </c>
      <c r="E40" t="s">
        <v>152</v>
      </c>
      <c r="F40" t="s">
        <v>14</v>
      </c>
      <c r="G40" t="s">
        <v>153</v>
      </c>
      <c r="H40">
        <v>116.4</v>
      </c>
    </row>
    <row r="41" spans="1:8" x14ac:dyDescent="0.25">
      <c r="A41">
        <v>38</v>
      </c>
      <c r="B41" t="s">
        <v>154</v>
      </c>
      <c r="C41" t="s">
        <v>155</v>
      </c>
      <c r="D41" t="s">
        <v>48</v>
      </c>
      <c r="E41" t="s">
        <v>156</v>
      </c>
      <c r="F41" t="s">
        <v>89</v>
      </c>
      <c r="G41" t="s">
        <v>157</v>
      </c>
      <c r="H41">
        <v>30.23</v>
      </c>
    </row>
    <row r="42" spans="1:8" x14ac:dyDescent="0.25">
      <c r="A42">
        <v>39</v>
      </c>
      <c r="B42" t="s">
        <v>158</v>
      </c>
      <c r="C42" t="s">
        <v>159</v>
      </c>
      <c r="D42" t="s">
        <v>12</v>
      </c>
      <c r="E42" t="s">
        <v>82</v>
      </c>
      <c r="F42" t="s">
        <v>14</v>
      </c>
      <c r="G42" t="s">
        <v>160</v>
      </c>
      <c r="H42">
        <v>19.420000000000002</v>
      </c>
    </row>
    <row r="43" spans="1:8" x14ac:dyDescent="0.25">
      <c r="A43">
        <v>40</v>
      </c>
      <c r="B43" t="s">
        <v>161</v>
      </c>
      <c r="C43" t="s">
        <v>162</v>
      </c>
      <c r="D43" t="s">
        <v>12</v>
      </c>
      <c r="E43" t="s">
        <v>13</v>
      </c>
      <c r="F43" t="s">
        <v>14</v>
      </c>
      <c r="G43" s="6" t="s">
        <v>163</v>
      </c>
      <c r="H43">
        <v>117.95</v>
      </c>
    </row>
    <row r="44" spans="1:8" x14ac:dyDescent="0.25">
      <c r="A44">
        <v>61</v>
      </c>
      <c r="B44" t="s">
        <v>164</v>
      </c>
      <c r="C44" t="s">
        <v>165</v>
      </c>
      <c r="D44" t="s">
        <v>127</v>
      </c>
      <c r="E44" t="s">
        <v>166</v>
      </c>
      <c r="F44" t="s">
        <v>14</v>
      </c>
      <c r="G44" t="s">
        <v>167</v>
      </c>
      <c r="H44">
        <v>35.380000000000003</v>
      </c>
    </row>
    <row r="45" spans="1:8" x14ac:dyDescent="0.25">
      <c r="A45">
        <v>62</v>
      </c>
      <c r="B45" t="s">
        <v>168</v>
      </c>
      <c r="C45" t="s">
        <v>169</v>
      </c>
      <c r="D45" t="s">
        <v>33</v>
      </c>
      <c r="E45" t="s">
        <v>170</v>
      </c>
      <c r="F45" t="s">
        <v>14</v>
      </c>
      <c r="G45" t="s">
        <v>171</v>
      </c>
      <c r="H45">
        <v>25.48</v>
      </c>
    </row>
    <row r="46" spans="1:8" x14ac:dyDescent="0.25">
      <c r="A46">
        <v>63</v>
      </c>
      <c r="B46" t="s">
        <v>172</v>
      </c>
      <c r="C46" t="s">
        <v>173</v>
      </c>
      <c r="D46" t="s">
        <v>12</v>
      </c>
      <c r="E46" t="s">
        <v>13</v>
      </c>
      <c r="F46" t="s">
        <v>14</v>
      </c>
      <c r="G46" t="s">
        <v>174</v>
      </c>
      <c r="H46">
        <v>12.44</v>
      </c>
    </row>
    <row r="47" spans="1:8" x14ac:dyDescent="0.25">
      <c r="A47">
        <v>64</v>
      </c>
      <c r="B47" t="s">
        <v>175</v>
      </c>
      <c r="C47" t="s">
        <v>176</v>
      </c>
      <c r="D47" t="s">
        <v>12</v>
      </c>
      <c r="E47" t="s">
        <v>177</v>
      </c>
      <c r="F47" t="s">
        <v>14</v>
      </c>
      <c r="G47" t="s">
        <v>178</v>
      </c>
      <c r="H47">
        <v>14.25</v>
      </c>
    </row>
    <row r="48" spans="1:8" x14ac:dyDescent="0.25">
      <c r="A48">
        <v>65</v>
      </c>
      <c r="B48" t="s">
        <v>179</v>
      </c>
      <c r="C48" t="s">
        <v>180</v>
      </c>
      <c r="D48" t="s">
        <v>18</v>
      </c>
      <c r="E48" t="s">
        <v>19</v>
      </c>
      <c r="F48" t="s">
        <v>14</v>
      </c>
      <c r="G48" t="s">
        <v>181</v>
      </c>
      <c r="H48">
        <v>22.34</v>
      </c>
    </row>
    <row r="49" spans="1:8" x14ac:dyDescent="0.25">
      <c r="A49">
        <v>66</v>
      </c>
      <c r="B49" t="s">
        <v>182</v>
      </c>
      <c r="C49" t="s">
        <v>183</v>
      </c>
      <c r="D49" t="s">
        <v>12</v>
      </c>
      <c r="E49" t="s">
        <v>82</v>
      </c>
      <c r="F49" t="s">
        <v>14</v>
      </c>
      <c r="G49" t="s">
        <v>184</v>
      </c>
      <c r="H49">
        <v>16.86</v>
      </c>
    </row>
    <row r="50" spans="1:8" x14ac:dyDescent="0.25">
      <c r="A50">
        <v>67</v>
      </c>
      <c r="B50" t="s">
        <v>185</v>
      </c>
      <c r="C50" t="s">
        <v>186</v>
      </c>
      <c r="D50" t="s">
        <v>18</v>
      </c>
      <c r="E50" t="s">
        <v>187</v>
      </c>
      <c r="F50" t="s">
        <v>14</v>
      </c>
      <c r="G50" t="s">
        <v>188</v>
      </c>
      <c r="H50">
        <v>120.1</v>
      </c>
    </row>
    <row r="51" spans="1:8" x14ac:dyDescent="0.25">
      <c r="A51">
        <v>68</v>
      </c>
      <c r="B51" t="s">
        <v>189</v>
      </c>
      <c r="C51" t="s">
        <v>190</v>
      </c>
      <c r="D51" t="s">
        <v>191</v>
      </c>
      <c r="E51" t="s">
        <v>192</v>
      </c>
      <c r="F51" t="s">
        <v>14</v>
      </c>
      <c r="G51" t="s">
        <v>193</v>
      </c>
      <c r="H51">
        <v>59.71</v>
      </c>
    </row>
    <row r="52" spans="1:8" x14ac:dyDescent="0.25">
      <c r="A52">
        <v>69</v>
      </c>
      <c r="B52" t="s">
        <v>194</v>
      </c>
      <c r="C52" t="s">
        <v>195</v>
      </c>
      <c r="D52" t="s">
        <v>48</v>
      </c>
      <c r="E52" t="s">
        <v>60</v>
      </c>
      <c r="F52" t="s">
        <v>14</v>
      </c>
      <c r="G52" t="s">
        <v>196</v>
      </c>
      <c r="H52">
        <v>37.96</v>
      </c>
    </row>
    <row r="53" spans="1:8" x14ac:dyDescent="0.25">
      <c r="A53">
        <v>70</v>
      </c>
      <c r="B53" t="s">
        <v>197</v>
      </c>
      <c r="C53" t="s">
        <v>198</v>
      </c>
      <c r="D53" t="s">
        <v>191</v>
      </c>
      <c r="E53" t="s">
        <v>199</v>
      </c>
      <c r="F53" t="s">
        <v>35</v>
      </c>
      <c r="G53" t="s">
        <v>200</v>
      </c>
      <c r="H53">
        <v>143.99</v>
      </c>
    </row>
    <row r="54" spans="1:8" x14ac:dyDescent="0.25">
      <c r="A54">
        <v>71</v>
      </c>
      <c r="B54" t="s">
        <v>201</v>
      </c>
      <c r="C54" t="s">
        <v>202</v>
      </c>
      <c r="D54" t="s">
        <v>12</v>
      </c>
      <c r="E54" t="s">
        <v>23</v>
      </c>
      <c r="F54" t="s">
        <v>203</v>
      </c>
      <c r="G54" t="s">
        <v>204</v>
      </c>
      <c r="H54">
        <v>126.71</v>
      </c>
    </row>
    <row r="55" spans="1:8" x14ac:dyDescent="0.25">
      <c r="A55">
        <v>72</v>
      </c>
      <c r="B55" t="s">
        <v>205</v>
      </c>
      <c r="C55" t="s">
        <v>206</v>
      </c>
      <c r="D55" t="s">
        <v>12</v>
      </c>
      <c r="E55" t="s">
        <v>23</v>
      </c>
      <c r="F55" t="s">
        <v>14</v>
      </c>
      <c r="G55" t="s">
        <v>207</v>
      </c>
      <c r="H55">
        <v>211.22</v>
      </c>
    </row>
    <row r="56" spans="1:8" x14ac:dyDescent="0.25">
      <c r="A56">
        <v>73</v>
      </c>
      <c r="B56" t="s">
        <v>208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>
        <v>74.510000000000005</v>
      </c>
    </row>
    <row r="57" spans="1:8" x14ac:dyDescent="0.25">
      <c r="A57">
        <v>74</v>
      </c>
      <c r="B57" t="s">
        <v>214</v>
      </c>
      <c r="C57" t="s">
        <v>215</v>
      </c>
      <c r="D57" t="s">
        <v>18</v>
      </c>
      <c r="E57" t="s">
        <v>216</v>
      </c>
      <c r="F57" t="s">
        <v>14</v>
      </c>
      <c r="G57" t="s">
        <v>217</v>
      </c>
      <c r="H57">
        <v>50.68</v>
      </c>
    </row>
    <row r="58" spans="1:8" x14ac:dyDescent="0.25">
      <c r="A58">
        <v>75</v>
      </c>
      <c r="B58" t="s">
        <v>218</v>
      </c>
      <c r="C58" t="s">
        <v>219</v>
      </c>
      <c r="D58" t="s">
        <v>42</v>
      </c>
      <c r="E58" t="s">
        <v>93</v>
      </c>
      <c r="F58" t="s">
        <v>14</v>
      </c>
      <c r="G58" t="s">
        <v>220</v>
      </c>
      <c r="H58" s="7">
        <v>268.27999999999997</v>
      </c>
    </row>
    <row r="59" spans="1:8" x14ac:dyDescent="0.25">
      <c r="A59">
        <v>76</v>
      </c>
      <c r="B59" t="s">
        <v>221</v>
      </c>
      <c r="C59" t="s">
        <v>222</v>
      </c>
      <c r="D59" t="s">
        <v>127</v>
      </c>
      <c r="E59" t="s">
        <v>166</v>
      </c>
      <c r="F59" t="s">
        <v>50</v>
      </c>
      <c r="G59" t="s">
        <v>223</v>
      </c>
      <c r="H59">
        <v>11</v>
      </c>
    </row>
    <row r="60" spans="1:8" x14ac:dyDescent="0.25">
      <c r="A60">
        <v>77</v>
      </c>
      <c r="B60" t="s">
        <v>224</v>
      </c>
      <c r="C60" t="s">
        <v>225</v>
      </c>
      <c r="D60" t="s">
        <v>18</v>
      </c>
      <c r="E60" t="s">
        <v>19</v>
      </c>
      <c r="F60" t="s">
        <v>14</v>
      </c>
      <c r="G60" t="s">
        <v>226</v>
      </c>
      <c r="H60">
        <v>72.56</v>
      </c>
    </row>
    <row r="61" spans="1:8" x14ac:dyDescent="0.25">
      <c r="A61">
        <v>78</v>
      </c>
      <c r="B61" t="s">
        <v>227</v>
      </c>
      <c r="C61" t="s">
        <v>228</v>
      </c>
      <c r="D61" t="s">
        <v>33</v>
      </c>
      <c r="E61" t="s">
        <v>69</v>
      </c>
      <c r="F61" t="s">
        <v>35</v>
      </c>
      <c r="G61" t="s">
        <v>229</v>
      </c>
      <c r="H61">
        <v>35.630000000000003</v>
      </c>
    </row>
    <row r="62" spans="1:8" x14ac:dyDescent="0.25">
      <c r="A62">
        <v>79</v>
      </c>
      <c r="B62" t="s">
        <v>230</v>
      </c>
      <c r="C62" t="s">
        <v>231</v>
      </c>
      <c r="D62" t="s">
        <v>18</v>
      </c>
      <c r="E62" t="s">
        <v>19</v>
      </c>
      <c r="F62" t="s">
        <v>14</v>
      </c>
      <c r="G62" t="s">
        <v>232</v>
      </c>
      <c r="H62">
        <v>33.729999999999997</v>
      </c>
    </row>
    <row r="63" spans="1:8" x14ac:dyDescent="0.25">
      <c r="A63">
        <v>80</v>
      </c>
      <c r="B63" t="s">
        <v>233</v>
      </c>
      <c r="C63" t="s">
        <v>234</v>
      </c>
      <c r="D63" t="s">
        <v>74</v>
      </c>
      <c r="E63" t="s">
        <v>75</v>
      </c>
      <c r="F63" t="s">
        <v>50</v>
      </c>
      <c r="G63" t="s">
        <v>232</v>
      </c>
      <c r="H63">
        <v>9.36</v>
      </c>
    </row>
    <row r="66" spans="1:8" ht="18.75" x14ac:dyDescent="0.3">
      <c r="A66" s="1" t="s">
        <v>235</v>
      </c>
    </row>
    <row r="67" spans="1:8" x14ac:dyDescent="0.25">
      <c r="A67" s="2" t="s">
        <v>236</v>
      </c>
    </row>
    <row r="68" spans="1:8" x14ac:dyDescent="0.25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D9F2-8F20-421F-9D5E-DB52E885A7A0}">
  <dimension ref="A1:N164"/>
  <sheetViews>
    <sheetView topLeftCell="B32" zoomScaleNormal="100" workbookViewId="0">
      <selection activeCell="C51" sqref="C51"/>
    </sheetView>
  </sheetViews>
  <sheetFormatPr defaultRowHeight="15" x14ac:dyDescent="0.25"/>
  <cols>
    <col min="1" max="1" width="33.7109375" customWidth="1"/>
    <col min="2" max="2" width="11" customWidth="1"/>
    <col min="3" max="3" width="29.42578125" customWidth="1"/>
    <col min="4" max="4" width="11" customWidth="1"/>
    <col min="5" max="5" width="17.140625" customWidth="1"/>
    <col min="6" max="6" width="20.7109375" customWidth="1"/>
    <col min="7" max="7" width="35.85546875" customWidth="1"/>
    <col min="8" max="8" width="20.85546875" customWidth="1"/>
    <col min="9" max="9" width="22.42578125" customWidth="1"/>
    <col min="10" max="10" width="64.85546875" style="9" customWidth="1"/>
    <col min="11" max="11" width="47.5703125" customWidth="1"/>
    <col min="12" max="12" width="25.28515625" customWidth="1"/>
    <col min="13" max="13" width="31.42578125" customWidth="1"/>
    <col min="14" max="14" width="29.42578125" customWidth="1"/>
  </cols>
  <sheetData>
    <row r="1" spans="1:14" ht="18.75" x14ac:dyDescent="0.25">
      <c r="A1" s="10" t="s">
        <v>237</v>
      </c>
      <c r="B1" t="s">
        <v>3</v>
      </c>
      <c r="C1" t="s">
        <v>238</v>
      </c>
      <c r="D1" t="s">
        <v>9</v>
      </c>
      <c r="E1" t="s">
        <v>8</v>
      </c>
      <c r="F1" t="s">
        <v>453</v>
      </c>
      <c r="G1" t="s">
        <v>5</v>
      </c>
      <c r="H1" t="s">
        <v>239</v>
      </c>
      <c r="I1" t="s">
        <v>245</v>
      </c>
      <c r="J1" s="9" t="s">
        <v>247</v>
      </c>
      <c r="K1" t="s">
        <v>248</v>
      </c>
      <c r="L1" t="s">
        <v>240</v>
      </c>
      <c r="M1" t="s">
        <v>287</v>
      </c>
      <c r="N1" t="s">
        <v>331</v>
      </c>
    </row>
    <row r="2" spans="1:14" ht="23.25" x14ac:dyDescent="0.3">
      <c r="A2" s="38" t="s">
        <v>349</v>
      </c>
      <c r="B2" s="14" t="s">
        <v>3</v>
      </c>
      <c r="C2" s="14" t="s">
        <v>238</v>
      </c>
      <c r="D2" s="14" t="s">
        <v>9</v>
      </c>
      <c r="E2" s="14" t="s">
        <v>8</v>
      </c>
      <c r="F2" s="14" t="s">
        <v>453</v>
      </c>
      <c r="G2" s="14" t="s">
        <v>5</v>
      </c>
      <c r="H2" s="14" t="s">
        <v>239</v>
      </c>
      <c r="I2" s="14" t="s">
        <v>245</v>
      </c>
      <c r="J2" s="15" t="s">
        <v>247</v>
      </c>
      <c r="K2" s="14" t="s">
        <v>248</v>
      </c>
      <c r="L2" s="14" t="s">
        <v>240</v>
      </c>
      <c r="M2" s="15" t="s">
        <v>287</v>
      </c>
      <c r="N2" s="15" t="s">
        <v>331</v>
      </c>
    </row>
    <row r="3" spans="1:14" ht="63" customHeight="1" x14ac:dyDescent="0.25">
      <c r="A3" s="12"/>
      <c r="B3" s="60" t="s">
        <v>241</v>
      </c>
      <c r="C3" s="40" t="s">
        <v>242</v>
      </c>
      <c r="D3" s="47">
        <v>128.06</v>
      </c>
      <c r="E3" s="47" t="s">
        <v>420</v>
      </c>
      <c r="F3" s="47"/>
      <c r="G3" s="40" t="s">
        <v>243</v>
      </c>
      <c r="H3" s="40" t="s">
        <v>244</v>
      </c>
      <c r="I3" s="40" t="s">
        <v>246</v>
      </c>
      <c r="J3" s="48" t="s">
        <v>249</v>
      </c>
      <c r="K3" s="46" t="s">
        <v>250</v>
      </c>
      <c r="L3" s="48" t="s">
        <v>251</v>
      </c>
      <c r="M3" s="46" t="s">
        <v>363</v>
      </c>
      <c r="N3" s="40"/>
    </row>
    <row r="4" spans="1:14" ht="50.25" customHeight="1" x14ac:dyDescent="0.25">
      <c r="A4" s="11"/>
      <c r="B4" s="41" t="s">
        <v>252</v>
      </c>
      <c r="C4" s="41" t="s">
        <v>253</v>
      </c>
      <c r="D4" s="42">
        <v>370.87</v>
      </c>
      <c r="E4" s="42" t="s">
        <v>420</v>
      </c>
      <c r="F4" s="42"/>
      <c r="G4" s="41" t="s">
        <v>243</v>
      </c>
      <c r="H4" s="43" t="s">
        <v>267</v>
      </c>
      <c r="I4" s="44" t="s">
        <v>254</v>
      </c>
      <c r="J4" s="45" t="s">
        <v>255</v>
      </c>
      <c r="K4" s="45" t="s">
        <v>336</v>
      </c>
      <c r="L4" s="45" t="s">
        <v>256</v>
      </c>
      <c r="M4" s="45" t="s">
        <v>362</v>
      </c>
      <c r="N4" s="41" t="s">
        <v>334</v>
      </c>
    </row>
    <row r="5" spans="1:14" ht="60.75" customHeight="1" x14ac:dyDescent="0.25">
      <c r="A5" s="11"/>
      <c r="B5" s="40" t="s">
        <v>257</v>
      </c>
      <c r="C5" s="46" t="s">
        <v>258</v>
      </c>
      <c r="D5" s="47">
        <v>370.6</v>
      </c>
      <c r="E5" s="47" t="s">
        <v>420</v>
      </c>
      <c r="F5" s="74" t="s">
        <v>454</v>
      </c>
      <c r="G5" s="40" t="s">
        <v>259</v>
      </c>
      <c r="H5" s="46" t="s">
        <v>266</v>
      </c>
      <c r="I5" s="40" t="s">
        <v>260</v>
      </c>
      <c r="J5" s="46" t="s">
        <v>261</v>
      </c>
      <c r="K5" s="48" t="s">
        <v>262</v>
      </c>
      <c r="L5" s="46" t="s">
        <v>263</v>
      </c>
      <c r="M5" s="46"/>
      <c r="N5" s="40"/>
    </row>
    <row r="6" spans="1:14" ht="66" x14ac:dyDescent="0.25">
      <c r="A6" s="11"/>
      <c r="B6" s="40" t="s">
        <v>264</v>
      </c>
      <c r="C6" s="40" t="s">
        <v>265</v>
      </c>
      <c r="D6" s="47">
        <v>315.83999999999997</v>
      </c>
      <c r="E6" s="47" t="s">
        <v>420</v>
      </c>
      <c r="F6" s="47"/>
      <c r="G6" s="40" t="s">
        <v>75</v>
      </c>
      <c r="H6" s="40" t="s">
        <v>244</v>
      </c>
      <c r="I6" s="46" t="s">
        <v>269</v>
      </c>
      <c r="J6" s="48" t="s">
        <v>268</v>
      </c>
      <c r="K6" s="48" t="s">
        <v>285</v>
      </c>
      <c r="L6" s="46" t="s">
        <v>276</v>
      </c>
      <c r="M6" s="46" t="s">
        <v>361</v>
      </c>
      <c r="N6" s="40"/>
    </row>
    <row r="7" spans="1:14" ht="50.25" customHeight="1" x14ac:dyDescent="0.25">
      <c r="A7" s="11"/>
      <c r="B7" s="40" t="s">
        <v>270</v>
      </c>
      <c r="C7" s="40" t="s">
        <v>271</v>
      </c>
      <c r="D7" s="47">
        <v>20.239999999999998</v>
      </c>
      <c r="E7" s="47"/>
      <c r="F7" s="47"/>
      <c r="G7" s="40" t="s">
        <v>272</v>
      </c>
      <c r="H7" s="40" t="s">
        <v>244</v>
      </c>
      <c r="I7" s="46" t="s">
        <v>273</v>
      </c>
      <c r="J7" s="48" t="s">
        <v>274</v>
      </c>
      <c r="K7" s="48" t="s">
        <v>288</v>
      </c>
      <c r="L7" s="48" t="s">
        <v>275</v>
      </c>
      <c r="M7" s="65"/>
      <c r="N7" s="40"/>
    </row>
    <row r="8" spans="1:14" ht="65.25" customHeight="1" x14ac:dyDescent="0.25">
      <c r="A8" s="11"/>
      <c r="B8" s="49" t="s">
        <v>25</v>
      </c>
      <c r="C8" s="49" t="s">
        <v>277</v>
      </c>
      <c r="D8" s="50">
        <v>52.78</v>
      </c>
      <c r="E8" s="50" t="s">
        <v>421</v>
      </c>
      <c r="F8" s="50"/>
      <c r="G8" s="49" t="s">
        <v>278</v>
      </c>
      <c r="H8" s="49" t="s">
        <v>244</v>
      </c>
      <c r="I8" s="49" t="s">
        <v>279</v>
      </c>
      <c r="J8" s="51" t="s">
        <v>280</v>
      </c>
      <c r="K8" s="51" t="s">
        <v>281</v>
      </c>
      <c r="L8" s="52" t="s">
        <v>256</v>
      </c>
      <c r="M8" s="52" t="s">
        <v>360</v>
      </c>
      <c r="N8" s="40"/>
    </row>
    <row r="9" spans="1:14" ht="78" customHeight="1" x14ac:dyDescent="0.25">
      <c r="A9" s="11"/>
      <c r="B9" s="41" t="s">
        <v>28</v>
      </c>
      <c r="C9" s="41" t="s">
        <v>282</v>
      </c>
      <c r="D9" s="42">
        <v>143.34</v>
      </c>
      <c r="E9" s="42" t="s">
        <v>421</v>
      </c>
      <c r="F9" s="74" t="s">
        <v>455</v>
      </c>
      <c r="G9" s="41" t="s">
        <v>283</v>
      </c>
      <c r="H9" s="43" t="s">
        <v>338</v>
      </c>
      <c r="I9" s="41" t="s">
        <v>329</v>
      </c>
      <c r="J9" s="53" t="s">
        <v>337</v>
      </c>
      <c r="K9" s="45" t="s">
        <v>451</v>
      </c>
      <c r="L9" s="45" t="s">
        <v>284</v>
      </c>
      <c r="M9" s="45" t="s">
        <v>452</v>
      </c>
      <c r="N9" s="54" t="s">
        <v>335</v>
      </c>
    </row>
    <row r="10" spans="1:14" ht="60" x14ac:dyDescent="0.25">
      <c r="A10" s="11"/>
      <c r="B10" s="40" t="s">
        <v>31</v>
      </c>
      <c r="C10" s="40" t="s">
        <v>289</v>
      </c>
      <c r="D10" s="47">
        <v>20.76</v>
      </c>
      <c r="E10" s="47"/>
      <c r="F10" s="47"/>
      <c r="G10" s="40" t="s">
        <v>34</v>
      </c>
      <c r="H10" s="40" t="s">
        <v>244</v>
      </c>
      <c r="I10" s="40" t="s">
        <v>260</v>
      </c>
      <c r="J10" s="48" t="s">
        <v>290</v>
      </c>
      <c r="K10" s="67" t="s">
        <v>291</v>
      </c>
      <c r="L10" s="67" t="s">
        <v>291</v>
      </c>
      <c r="M10" s="46" t="s">
        <v>359</v>
      </c>
      <c r="N10" s="40"/>
    </row>
    <row r="11" spans="1:14" ht="60" x14ac:dyDescent="0.25">
      <c r="A11" s="11"/>
      <c r="B11" s="41" t="s">
        <v>306</v>
      </c>
      <c r="C11" s="41" t="s">
        <v>324</v>
      </c>
      <c r="D11" s="42">
        <v>139.74</v>
      </c>
      <c r="E11" s="42" t="s">
        <v>422</v>
      </c>
      <c r="F11" s="42"/>
      <c r="G11" s="41" t="s">
        <v>12</v>
      </c>
      <c r="H11" s="43" t="s">
        <v>267</v>
      </c>
      <c r="I11" s="41" t="s">
        <v>325</v>
      </c>
      <c r="J11" s="45"/>
      <c r="K11" s="45" t="s">
        <v>326</v>
      </c>
      <c r="L11" s="45" t="s">
        <v>284</v>
      </c>
      <c r="M11" s="45" t="s">
        <v>358</v>
      </c>
      <c r="N11" s="41" t="s">
        <v>333</v>
      </c>
    </row>
    <row r="12" spans="1:14" ht="60" x14ac:dyDescent="0.25">
      <c r="A12" s="11"/>
      <c r="B12" s="41" t="s">
        <v>307</v>
      </c>
      <c r="C12" s="41" t="s">
        <v>327</v>
      </c>
      <c r="D12" s="42">
        <v>117.78</v>
      </c>
      <c r="E12" s="42" t="s">
        <v>422</v>
      </c>
      <c r="F12" s="42"/>
      <c r="G12" s="41" t="s">
        <v>328</v>
      </c>
      <c r="H12" s="43" t="s">
        <v>267</v>
      </c>
      <c r="I12" s="41" t="s">
        <v>329</v>
      </c>
      <c r="J12" s="45" t="s">
        <v>330</v>
      </c>
      <c r="K12" s="45" t="s">
        <v>326</v>
      </c>
      <c r="L12" s="45" t="s">
        <v>284</v>
      </c>
      <c r="M12" s="45" t="s">
        <v>357</v>
      </c>
      <c r="N12" s="41" t="s">
        <v>332</v>
      </c>
    </row>
    <row r="13" spans="1:14" ht="60" x14ac:dyDescent="0.25">
      <c r="A13" s="11"/>
      <c r="B13" s="40" t="s">
        <v>350</v>
      </c>
      <c r="C13" s="40" t="s">
        <v>418</v>
      </c>
      <c r="D13" s="13"/>
      <c r="E13" s="40" t="s">
        <v>422</v>
      </c>
      <c r="F13" s="40"/>
      <c r="G13" s="47">
        <v>46.03</v>
      </c>
      <c r="H13" s="55" t="s">
        <v>364</v>
      </c>
      <c r="I13" s="56" t="s">
        <v>351</v>
      </c>
      <c r="J13" s="46" t="s">
        <v>352</v>
      </c>
      <c r="K13" s="57" t="s">
        <v>353</v>
      </c>
      <c r="L13" s="46" t="s">
        <v>354</v>
      </c>
      <c r="M13" s="46" t="s">
        <v>356</v>
      </c>
      <c r="N13" s="40" t="s">
        <v>355</v>
      </c>
    </row>
    <row r="14" spans="1:14" ht="60" x14ac:dyDescent="0.25">
      <c r="A14" s="11"/>
      <c r="B14" s="40" t="s">
        <v>46</v>
      </c>
      <c r="C14" s="40" t="s">
        <v>419</v>
      </c>
      <c r="D14" s="47">
        <v>37.78</v>
      </c>
      <c r="E14" s="47" t="s">
        <v>421</v>
      </c>
      <c r="F14" s="74" t="s">
        <v>457</v>
      </c>
      <c r="G14" s="40"/>
      <c r="H14" s="40" t="s">
        <v>244</v>
      </c>
      <c r="I14" s="40" t="s">
        <v>373</v>
      </c>
      <c r="J14" s="46"/>
      <c r="K14" s="46" t="s">
        <v>377</v>
      </c>
      <c r="L14" s="46" t="s">
        <v>374</v>
      </c>
      <c r="M14" s="46"/>
      <c r="N14" s="40"/>
    </row>
    <row r="15" spans="1:14" ht="45" x14ac:dyDescent="0.25">
      <c r="A15" s="11"/>
      <c r="B15" s="40" t="s">
        <v>58</v>
      </c>
      <c r="C15" s="40"/>
      <c r="D15" s="40"/>
      <c r="E15" s="40" t="s">
        <v>421</v>
      </c>
      <c r="F15" s="75" t="s">
        <v>458</v>
      </c>
      <c r="G15" s="40"/>
      <c r="H15" s="40" t="s">
        <v>244</v>
      </c>
      <c r="I15" s="40" t="s">
        <v>375</v>
      </c>
      <c r="J15" s="46"/>
      <c r="K15" s="46" t="s">
        <v>376</v>
      </c>
      <c r="L15" s="46" t="s">
        <v>374</v>
      </c>
      <c r="M15" s="46"/>
      <c r="N15" s="40"/>
    </row>
    <row r="16" spans="1:14" ht="30" x14ac:dyDescent="0.25">
      <c r="A16" s="11"/>
      <c r="B16" s="40" t="s">
        <v>369</v>
      </c>
      <c r="C16" s="40"/>
      <c r="D16" s="40"/>
      <c r="E16" s="40" t="s">
        <v>422</v>
      </c>
      <c r="F16" s="75" t="s">
        <v>459</v>
      </c>
      <c r="G16" s="40"/>
      <c r="H16" s="40" t="s">
        <v>244</v>
      </c>
      <c r="I16" s="40" t="s">
        <v>373</v>
      </c>
      <c r="J16" s="46"/>
      <c r="K16" s="46" t="s">
        <v>374</v>
      </c>
      <c r="L16" s="46"/>
      <c r="M16" s="46"/>
      <c r="N16" s="40"/>
    </row>
    <row r="17" spans="1:14" ht="30" x14ac:dyDescent="0.25">
      <c r="A17" s="11"/>
      <c r="B17" s="62" t="s">
        <v>370</v>
      </c>
      <c r="C17" s="62"/>
      <c r="D17" s="62"/>
      <c r="E17" s="62" t="s">
        <v>422</v>
      </c>
      <c r="F17" s="62"/>
      <c r="G17" s="62"/>
      <c r="H17" s="43" t="s">
        <v>267</v>
      </c>
      <c r="I17" s="62" t="s">
        <v>371</v>
      </c>
      <c r="J17" s="64"/>
      <c r="K17" s="76" t="s">
        <v>372</v>
      </c>
      <c r="L17" s="64"/>
      <c r="M17" s="64"/>
      <c r="N17" s="62"/>
    </row>
    <row r="18" spans="1:14" ht="45" x14ac:dyDescent="0.25">
      <c r="A18" s="11"/>
      <c r="B18" s="61" t="s">
        <v>378</v>
      </c>
      <c r="C18" s="61"/>
      <c r="D18" s="61"/>
      <c r="E18" s="61" t="s">
        <v>422</v>
      </c>
      <c r="F18" s="61"/>
      <c r="G18" s="61"/>
      <c r="H18" s="62" t="s">
        <v>286</v>
      </c>
      <c r="I18" s="61" t="s">
        <v>379</v>
      </c>
      <c r="J18" s="63"/>
      <c r="K18" s="63" t="s">
        <v>376</v>
      </c>
      <c r="L18" s="63" t="s">
        <v>372</v>
      </c>
      <c r="M18" s="63"/>
      <c r="N18" s="61"/>
    </row>
    <row r="19" spans="1:14" ht="65.25" customHeight="1" x14ac:dyDescent="0.25">
      <c r="A19" s="11"/>
      <c r="B19" s="40" t="s">
        <v>297</v>
      </c>
      <c r="C19" s="40"/>
      <c r="D19" s="40"/>
      <c r="E19" s="40"/>
      <c r="F19" s="46"/>
      <c r="G19" s="40"/>
      <c r="H19" s="40" t="s">
        <v>244</v>
      </c>
      <c r="I19" s="40" t="s">
        <v>373</v>
      </c>
      <c r="J19" s="46"/>
      <c r="K19" s="46" t="s">
        <v>384</v>
      </c>
      <c r="L19" s="46" t="s">
        <v>374</v>
      </c>
      <c r="M19" s="46"/>
      <c r="N19" s="40"/>
    </row>
    <row r="20" spans="1:14" ht="66.75" customHeight="1" x14ac:dyDescent="0.25">
      <c r="A20" s="11"/>
      <c r="B20" s="40" t="s">
        <v>380</v>
      </c>
      <c r="C20" s="40"/>
      <c r="D20" s="40"/>
      <c r="E20" s="40" t="s">
        <v>422</v>
      </c>
      <c r="F20" s="75" t="s">
        <v>456</v>
      </c>
      <c r="G20" s="40"/>
      <c r="H20" s="40" t="s">
        <v>244</v>
      </c>
      <c r="I20" s="40" t="s">
        <v>373</v>
      </c>
      <c r="J20" s="46"/>
      <c r="K20" s="46" t="s">
        <v>383</v>
      </c>
      <c r="L20" s="46"/>
      <c r="M20" s="46"/>
      <c r="N20" s="40"/>
    </row>
    <row r="21" spans="1:14" ht="66" customHeight="1" x14ac:dyDescent="0.25">
      <c r="A21" s="11"/>
      <c r="B21" s="40" t="s">
        <v>381</v>
      </c>
      <c r="C21" s="40"/>
      <c r="D21" s="40"/>
      <c r="E21" s="40" t="s">
        <v>422</v>
      </c>
      <c r="F21" s="75" t="s">
        <v>460</v>
      </c>
      <c r="G21" s="40"/>
      <c r="H21" s="40" t="s">
        <v>244</v>
      </c>
      <c r="I21" s="40" t="s">
        <v>373</v>
      </c>
      <c r="J21" s="46"/>
      <c r="K21" s="46" t="s">
        <v>382</v>
      </c>
      <c r="L21" s="46" t="s">
        <v>374</v>
      </c>
      <c r="M21" s="46"/>
      <c r="N21" s="40"/>
    </row>
    <row r="22" spans="1:14" ht="30" x14ac:dyDescent="0.25">
      <c r="A22" s="11"/>
      <c r="B22" s="40" t="s">
        <v>385</v>
      </c>
      <c r="C22" s="40"/>
      <c r="D22" s="40"/>
      <c r="E22" s="40" t="s">
        <v>422</v>
      </c>
      <c r="F22" s="75" t="s">
        <v>461</v>
      </c>
      <c r="G22" s="40"/>
      <c r="H22" s="40" t="s">
        <v>244</v>
      </c>
      <c r="I22" s="40" t="s">
        <v>386</v>
      </c>
      <c r="J22" s="46"/>
      <c r="K22" s="46" t="s">
        <v>376</v>
      </c>
      <c r="L22" s="46"/>
      <c r="M22" s="46"/>
      <c r="N22" s="40"/>
    </row>
    <row r="23" spans="1:14" ht="45" x14ac:dyDescent="0.25">
      <c r="A23" s="11"/>
      <c r="B23" s="61" t="s">
        <v>161</v>
      </c>
      <c r="C23" s="61"/>
      <c r="D23" s="61"/>
      <c r="E23" s="61" t="s">
        <v>422</v>
      </c>
      <c r="F23" s="63"/>
      <c r="G23" s="61"/>
      <c r="H23" s="62" t="s">
        <v>286</v>
      </c>
      <c r="I23" s="61" t="s">
        <v>379</v>
      </c>
      <c r="J23" s="63"/>
      <c r="K23" s="63" t="s">
        <v>387</v>
      </c>
      <c r="L23" s="63" t="s">
        <v>372</v>
      </c>
      <c r="M23" s="63"/>
      <c r="N23" s="61"/>
    </row>
    <row r="24" spans="1:14" ht="45" x14ac:dyDescent="0.25">
      <c r="A24" s="11"/>
      <c r="B24" s="40" t="s">
        <v>388</v>
      </c>
      <c r="C24" s="40"/>
      <c r="D24" s="40"/>
      <c r="E24" s="40" t="s">
        <v>422</v>
      </c>
      <c r="F24" s="75" t="s">
        <v>462</v>
      </c>
      <c r="G24" s="40"/>
      <c r="H24" s="40" t="s">
        <v>244</v>
      </c>
      <c r="I24" s="40" t="s">
        <v>389</v>
      </c>
      <c r="J24" s="46"/>
      <c r="K24" s="46" t="s">
        <v>376</v>
      </c>
      <c r="L24" s="46" t="s">
        <v>374</v>
      </c>
      <c r="M24" s="46"/>
      <c r="N24" s="40"/>
    </row>
    <row r="25" spans="1:14" ht="64.5" customHeight="1" x14ac:dyDescent="0.25">
      <c r="A25" s="11"/>
      <c r="B25" s="40" t="s">
        <v>390</v>
      </c>
      <c r="C25" s="40"/>
      <c r="D25" s="40"/>
      <c r="E25" s="40" t="s">
        <v>422</v>
      </c>
      <c r="F25" s="75" t="s">
        <v>463</v>
      </c>
      <c r="G25" s="40"/>
      <c r="H25" s="40" t="s">
        <v>244</v>
      </c>
      <c r="I25" s="40" t="s">
        <v>391</v>
      </c>
      <c r="J25" s="46"/>
      <c r="K25" s="46" t="s">
        <v>392</v>
      </c>
      <c r="L25" s="46" t="s">
        <v>374</v>
      </c>
      <c r="M25" s="46"/>
      <c r="N25" s="40"/>
    </row>
    <row r="26" spans="1:14" ht="45" x14ac:dyDescent="0.25">
      <c r="A26" s="11"/>
      <c r="B26" s="40" t="s">
        <v>393</v>
      </c>
      <c r="C26" s="40"/>
      <c r="D26" s="40"/>
      <c r="E26" s="40" t="s">
        <v>421</v>
      </c>
      <c r="F26" s="75" t="s">
        <v>464</v>
      </c>
      <c r="G26" s="40"/>
      <c r="H26" s="40" t="s">
        <v>244</v>
      </c>
      <c r="I26" s="40" t="s">
        <v>394</v>
      </c>
      <c r="J26" s="46"/>
      <c r="K26" s="46" t="s">
        <v>376</v>
      </c>
      <c r="L26" s="46" t="s">
        <v>372</v>
      </c>
      <c r="M26" s="46"/>
      <c r="N26" s="40"/>
    </row>
    <row r="27" spans="1:14" ht="45" x14ac:dyDescent="0.25">
      <c r="A27" s="11"/>
      <c r="B27" s="40" t="s">
        <v>395</v>
      </c>
      <c r="C27" s="40"/>
      <c r="D27" s="40"/>
      <c r="E27" s="40"/>
      <c r="F27" s="40"/>
      <c r="G27" s="40"/>
      <c r="H27" s="40" t="s">
        <v>244</v>
      </c>
      <c r="I27" s="40" t="s">
        <v>396</v>
      </c>
      <c r="J27" s="46"/>
      <c r="K27" s="46" t="s">
        <v>376</v>
      </c>
      <c r="L27" s="46" t="s">
        <v>374</v>
      </c>
      <c r="M27" s="46"/>
      <c r="N27" s="40"/>
    </row>
    <row r="28" spans="1:14" ht="65.25" customHeight="1" x14ac:dyDescent="0.25">
      <c r="A28" s="11"/>
      <c r="B28" s="40" t="s">
        <v>397</v>
      </c>
      <c r="C28" s="40"/>
      <c r="D28" s="40"/>
      <c r="E28" s="40"/>
      <c r="F28" s="75" t="s">
        <v>465</v>
      </c>
      <c r="G28" s="40"/>
      <c r="H28" s="40" t="s">
        <v>244</v>
      </c>
      <c r="I28" s="40" t="s">
        <v>373</v>
      </c>
      <c r="J28" s="46"/>
      <c r="K28" s="46" t="s">
        <v>398</v>
      </c>
      <c r="L28" s="46" t="s">
        <v>374</v>
      </c>
      <c r="M28" s="46"/>
      <c r="N28" s="40"/>
    </row>
    <row r="29" spans="1:14" ht="66" customHeight="1" x14ac:dyDescent="0.25">
      <c r="A29" s="11"/>
      <c r="B29" s="40" t="s">
        <v>399</v>
      </c>
      <c r="C29" s="40"/>
      <c r="D29" s="40"/>
      <c r="E29" s="40"/>
      <c r="F29" s="75" t="s">
        <v>466</v>
      </c>
      <c r="G29" s="40"/>
      <c r="H29" s="40" t="s">
        <v>244</v>
      </c>
      <c r="I29" s="40" t="s">
        <v>400</v>
      </c>
      <c r="J29" s="46"/>
      <c r="K29" s="46" t="s">
        <v>401</v>
      </c>
      <c r="L29" s="46" t="s">
        <v>374</v>
      </c>
      <c r="M29" s="46"/>
      <c r="N29" s="40"/>
    </row>
    <row r="30" spans="1:14" ht="45" x14ac:dyDescent="0.25">
      <c r="A30" s="11"/>
      <c r="B30" s="62" t="s">
        <v>402</v>
      </c>
      <c r="C30" s="62"/>
      <c r="D30" s="62"/>
      <c r="E30" s="62" t="s">
        <v>422</v>
      </c>
      <c r="F30" s="75" t="s">
        <v>467</v>
      </c>
      <c r="G30" s="62"/>
      <c r="H30" s="43" t="s">
        <v>267</v>
      </c>
      <c r="I30" s="62" t="s">
        <v>403</v>
      </c>
      <c r="J30" s="64"/>
      <c r="K30" s="64" t="s">
        <v>404</v>
      </c>
      <c r="L30" s="64" t="s">
        <v>405</v>
      </c>
      <c r="M30" s="64"/>
      <c r="N30" s="62"/>
    </row>
    <row r="31" spans="1:14" ht="63.75" customHeight="1" x14ac:dyDescent="0.25">
      <c r="A31" s="11"/>
      <c r="B31" s="61" t="s">
        <v>406</v>
      </c>
      <c r="C31" s="61"/>
      <c r="D31" s="61"/>
      <c r="E31" s="61" t="s">
        <v>422</v>
      </c>
      <c r="F31" s="75" t="s">
        <v>468</v>
      </c>
      <c r="G31" s="61"/>
      <c r="H31" s="62" t="s">
        <v>286</v>
      </c>
      <c r="I31" s="61" t="s">
        <v>371</v>
      </c>
      <c r="J31" s="63"/>
      <c r="K31" s="63" t="s">
        <v>407</v>
      </c>
      <c r="L31" s="63" t="s">
        <v>372</v>
      </c>
      <c r="M31" s="63"/>
      <c r="N31" s="61"/>
    </row>
    <row r="32" spans="1:14" ht="45" x14ac:dyDescent="0.25">
      <c r="A32" s="11"/>
      <c r="B32" s="61" t="s">
        <v>408</v>
      </c>
      <c r="C32" s="61"/>
      <c r="D32" s="61"/>
      <c r="E32" s="61" t="s">
        <v>422</v>
      </c>
      <c r="F32" s="75" t="s">
        <v>469</v>
      </c>
      <c r="G32" s="61"/>
      <c r="H32" s="62" t="s">
        <v>286</v>
      </c>
      <c r="I32" s="61" t="s">
        <v>394</v>
      </c>
      <c r="J32" s="63"/>
      <c r="K32" s="63" t="s">
        <v>376</v>
      </c>
      <c r="L32" s="63" t="s">
        <v>372</v>
      </c>
      <c r="M32" s="63"/>
      <c r="N32" s="61"/>
    </row>
    <row r="33" spans="1:14" ht="69" customHeight="1" x14ac:dyDescent="0.25">
      <c r="A33" s="11"/>
      <c r="B33" s="40" t="s">
        <v>409</v>
      </c>
      <c r="C33" s="40"/>
      <c r="D33" s="40"/>
      <c r="E33" s="40"/>
      <c r="F33" s="40"/>
      <c r="G33" s="40"/>
      <c r="H33" s="40" t="s">
        <v>244</v>
      </c>
      <c r="I33" s="40" t="s">
        <v>373</v>
      </c>
      <c r="J33" s="46"/>
      <c r="K33" s="46" t="s">
        <v>410</v>
      </c>
      <c r="L33" s="46" t="s">
        <v>374</v>
      </c>
      <c r="M33" s="46"/>
      <c r="N33" s="40"/>
    </row>
    <row r="34" spans="1:14" ht="42" customHeight="1" x14ac:dyDescent="0.25">
      <c r="A34" s="11"/>
      <c r="B34" s="40" t="s">
        <v>411</v>
      </c>
      <c r="C34" s="40"/>
      <c r="D34" s="40"/>
      <c r="E34" s="40"/>
      <c r="F34" s="75" t="s">
        <v>455</v>
      </c>
      <c r="G34" s="40"/>
      <c r="H34" s="40" t="s">
        <v>244</v>
      </c>
      <c r="I34" s="40" t="s">
        <v>389</v>
      </c>
      <c r="J34" s="46"/>
      <c r="K34" s="46" t="s">
        <v>376</v>
      </c>
      <c r="L34" s="46"/>
      <c r="M34" s="46"/>
      <c r="N34" s="40"/>
    </row>
    <row r="35" spans="1:14" ht="69" customHeight="1" x14ac:dyDescent="0.25">
      <c r="A35" s="11"/>
      <c r="B35" s="40" t="s">
        <v>412</v>
      </c>
      <c r="C35" s="40"/>
      <c r="D35" s="40"/>
      <c r="E35" s="40"/>
      <c r="F35" s="40"/>
      <c r="G35" s="40"/>
      <c r="H35" s="40" t="s">
        <v>244</v>
      </c>
      <c r="I35" s="40" t="s">
        <v>373</v>
      </c>
      <c r="J35" s="46"/>
      <c r="K35" s="46" t="s">
        <v>413</v>
      </c>
      <c r="L35" s="46" t="s">
        <v>374</v>
      </c>
      <c r="M35" s="46"/>
      <c r="N35" s="40"/>
    </row>
    <row r="36" spans="1:14" ht="45" x14ac:dyDescent="0.25">
      <c r="A36" s="11"/>
      <c r="B36" s="40" t="s">
        <v>414</v>
      </c>
      <c r="C36" s="40"/>
      <c r="D36" s="40"/>
      <c r="E36" s="40" t="s">
        <v>422</v>
      </c>
      <c r="F36" s="40"/>
      <c r="G36" s="40"/>
      <c r="H36" s="40" t="s">
        <v>244</v>
      </c>
      <c r="I36" s="40" t="s">
        <v>379</v>
      </c>
      <c r="J36" s="46"/>
      <c r="K36" s="46" t="s">
        <v>376</v>
      </c>
      <c r="L36" s="46" t="s">
        <v>372</v>
      </c>
      <c r="M36" s="46"/>
      <c r="N36" s="40"/>
    </row>
    <row r="37" spans="1:14" ht="67.5" customHeight="1" x14ac:dyDescent="0.25">
      <c r="A37" s="11"/>
      <c r="B37" s="40" t="s">
        <v>415</v>
      </c>
      <c r="C37" s="40"/>
      <c r="D37" s="40"/>
      <c r="E37" s="40"/>
      <c r="F37" s="40"/>
      <c r="G37" s="40"/>
      <c r="H37" s="40" t="s">
        <v>244</v>
      </c>
      <c r="I37" s="40" t="s">
        <v>373</v>
      </c>
      <c r="J37" s="46"/>
      <c r="K37" s="46" t="s">
        <v>416</v>
      </c>
      <c r="L37" s="46" t="s">
        <v>374</v>
      </c>
      <c r="M37" s="46"/>
      <c r="N37" s="40"/>
    </row>
    <row r="38" spans="1:14" ht="30" x14ac:dyDescent="0.25">
      <c r="A38" s="11"/>
      <c r="B38" s="40" t="s">
        <v>417</v>
      </c>
      <c r="C38" s="40"/>
      <c r="D38" s="40"/>
      <c r="E38" s="40"/>
      <c r="F38" s="75" t="s">
        <v>466</v>
      </c>
      <c r="G38" s="40"/>
      <c r="H38" s="40" t="s">
        <v>244</v>
      </c>
      <c r="I38" s="40" t="s">
        <v>386</v>
      </c>
      <c r="J38" s="46"/>
      <c r="K38" s="46" t="s">
        <v>376</v>
      </c>
      <c r="L38" s="46"/>
      <c r="M38" s="46"/>
      <c r="N38" s="40"/>
    </row>
    <row r="39" spans="1:14" ht="45" x14ac:dyDescent="0.25">
      <c r="A39" s="11"/>
      <c r="B39" s="61" t="s">
        <v>87</v>
      </c>
      <c r="C39" s="61" t="s">
        <v>88</v>
      </c>
      <c r="D39" s="71">
        <v>13.4</v>
      </c>
      <c r="E39" s="61" t="s">
        <v>421</v>
      </c>
      <c r="F39" s="61"/>
      <c r="G39" s="61" t="s">
        <v>12</v>
      </c>
      <c r="H39" s="62" t="s">
        <v>286</v>
      </c>
      <c r="I39" s="61" t="s">
        <v>379</v>
      </c>
      <c r="J39" s="63"/>
      <c r="K39" s="63" t="s">
        <v>376</v>
      </c>
      <c r="L39" s="63" t="s">
        <v>372</v>
      </c>
      <c r="M39" s="63"/>
      <c r="N39" s="61"/>
    </row>
    <row r="40" spans="1:14" ht="45" x14ac:dyDescent="0.25">
      <c r="A40" s="11"/>
      <c r="B40" s="61" t="s">
        <v>103</v>
      </c>
      <c r="C40" s="61" t="s">
        <v>423</v>
      </c>
      <c r="D40" s="71">
        <v>46.38</v>
      </c>
      <c r="E40" s="61" t="s">
        <v>421</v>
      </c>
      <c r="F40" s="61"/>
      <c r="G40" s="63" t="s">
        <v>42</v>
      </c>
      <c r="H40" s="62" t="s">
        <v>286</v>
      </c>
      <c r="I40" s="61" t="s">
        <v>379</v>
      </c>
      <c r="J40" s="72"/>
      <c r="K40" s="63" t="s">
        <v>376</v>
      </c>
      <c r="L40" s="63" t="s">
        <v>372</v>
      </c>
      <c r="M40" s="63"/>
      <c r="N40" s="61"/>
    </row>
    <row r="41" spans="1:14" ht="75" x14ac:dyDescent="0.25">
      <c r="A41" s="11"/>
      <c r="B41" s="40" t="s">
        <v>106</v>
      </c>
      <c r="C41" s="40" t="s">
        <v>424</v>
      </c>
      <c r="D41" s="47">
        <v>258.41000000000003</v>
      </c>
      <c r="E41" s="40" t="s">
        <v>421</v>
      </c>
      <c r="F41" s="40"/>
      <c r="G41" s="46" t="s">
        <v>12</v>
      </c>
      <c r="H41" s="40" t="s">
        <v>244</v>
      </c>
      <c r="I41" s="40" t="s">
        <v>373</v>
      </c>
      <c r="J41" s="68"/>
      <c r="K41" s="46" t="s">
        <v>425</v>
      </c>
      <c r="L41" s="46" t="s">
        <v>374</v>
      </c>
      <c r="M41" s="46"/>
      <c r="N41" s="40"/>
    </row>
    <row r="42" spans="1:14" ht="45" x14ac:dyDescent="0.25">
      <c r="A42" s="11"/>
      <c r="B42" s="40" t="s">
        <v>116</v>
      </c>
      <c r="C42" s="40" t="s">
        <v>426</v>
      </c>
      <c r="D42" s="47">
        <v>76.790000000000006</v>
      </c>
      <c r="E42" s="40" t="s">
        <v>421</v>
      </c>
      <c r="F42" s="40"/>
      <c r="G42" s="40" t="s">
        <v>12</v>
      </c>
      <c r="H42" s="40" t="s">
        <v>244</v>
      </c>
      <c r="I42" s="40" t="s">
        <v>427</v>
      </c>
      <c r="J42" s="68"/>
      <c r="K42" s="46" t="s">
        <v>376</v>
      </c>
      <c r="L42" s="46" t="s">
        <v>374</v>
      </c>
      <c r="M42" s="46"/>
      <c r="N42" s="40"/>
    </row>
    <row r="43" spans="1:14" ht="45" x14ac:dyDescent="0.25">
      <c r="A43" s="11"/>
      <c r="B43" s="62" t="s">
        <v>119</v>
      </c>
      <c r="C43" s="62" t="s">
        <v>428</v>
      </c>
      <c r="D43" s="78">
        <v>103.7</v>
      </c>
      <c r="E43" s="62" t="s">
        <v>421</v>
      </c>
      <c r="F43" s="62"/>
      <c r="G43" s="62" t="s">
        <v>12</v>
      </c>
      <c r="H43" s="43" t="s">
        <v>471</v>
      </c>
      <c r="I43" s="62" t="s">
        <v>379</v>
      </c>
      <c r="J43" s="79"/>
      <c r="K43" s="64" t="s">
        <v>376</v>
      </c>
      <c r="L43" s="64" t="s">
        <v>372</v>
      </c>
      <c r="M43" s="64"/>
      <c r="N43" s="62"/>
    </row>
    <row r="44" spans="1:14" ht="45" x14ac:dyDescent="0.25">
      <c r="A44" s="11"/>
      <c r="B44" s="40" t="s">
        <v>125</v>
      </c>
      <c r="C44" s="40" t="s">
        <v>429</v>
      </c>
      <c r="D44" s="47">
        <v>67.989999999999995</v>
      </c>
      <c r="E44" s="40" t="s">
        <v>421</v>
      </c>
      <c r="F44" s="40"/>
      <c r="G44" s="40" t="s">
        <v>127</v>
      </c>
      <c r="H44" s="40" t="s">
        <v>244</v>
      </c>
      <c r="I44" s="40" t="s">
        <v>430</v>
      </c>
      <c r="J44" s="39"/>
      <c r="K44" s="46" t="s">
        <v>431</v>
      </c>
      <c r="L44" s="46" t="s">
        <v>374</v>
      </c>
      <c r="M44" s="46"/>
      <c r="N44" s="40"/>
    </row>
    <row r="45" spans="1:14" ht="45" x14ac:dyDescent="0.25">
      <c r="A45" s="11"/>
      <c r="B45" s="40" t="s">
        <v>144</v>
      </c>
      <c r="C45" s="40" t="s">
        <v>432</v>
      </c>
      <c r="D45" s="47">
        <v>45.17</v>
      </c>
      <c r="E45" s="40" t="s">
        <v>421</v>
      </c>
      <c r="F45" s="40"/>
      <c r="G45" s="40" t="s">
        <v>12</v>
      </c>
      <c r="H45" s="40" t="s">
        <v>244</v>
      </c>
      <c r="I45" s="40" t="s">
        <v>427</v>
      </c>
      <c r="J45" s="39"/>
      <c r="K45" s="46" t="s">
        <v>387</v>
      </c>
      <c r="L45" s="46" t="s">
        <v>374</v>
      </c>
      <c r="M45" s="46"/>
      <c r="N45" s="40"/>
    </row>
    <row r="46" spans="1:14" ht="45" x14ac:dyDescent="0.25">
      <c r="A46" s="11"/>
      <c r="B46" s="61" t="s">
        <v>154</v>
      </c>
      <c r="C46" s="61" t="s">
        <v>433</v>
      </c>
      <c r="D46" s="71">
        <v>32.979999999999997</v>
      </c>
      <c r="E46" s="61" t="s">
        <v>421</v>
      </c>
      <c r="F46" s="75" t="s">
        <v>470</v>
      </c>
      <c r="G46" s="61" t="s">
        <v>48</v>
      </c>
      <c r="H46" s="62" t="s">
        <v>286</v>
      </c>
      <c r="I46" s="61" t="s">
        <v>379</v>
      </c>
      <c r="J46" s="73"/>
      <c r="K46" s="63" t="s">
        <v>376</v>
      </c>
      <c r="L46" s="63" t="s">
        <v>372</v>
      </c>
      <c r="M46" s="63"/>
      <c r="N46" s="61"/>
    </row>
    <row r="47" spans="1:14" ht="45" x14ac:dyDescent="0.25">
      <c r="A47" s="11"/>
      <c r="B47" s="40" t="s">
        <v>434</v>
      </c>
      <c r="C47" s="40" t="s">
        <v>435</v>
      </c>
      <c r="D47" s="47">
        <v>25.24</v>
      </c>
      <c r="E47" s="40" t="s">
        <v>421</v>
      </c>
      <c r="F47" s="40"/>
      <c r="G47" s="40" t="s">
        <v>18</v>
      </c>
      <c r="H47" s="40" t="s">
        <v>244</v>
      </c>
      <c r="I47" s="40" t="s">
        <v>386</v>
      </c>
      <c r="J47" s="39"/>
      <c r="K47" s="46" t="s">
        <v>376</v>
      </c>
      <c r="L47" s="46" t="s">
        <v>374</v>
      </c>
      <c r="M47" s="46"/>
      <c r="N47" s="40"/>
    </row>
    <row r="48" spans="1:14" ht="45" x14ac:dyDescent="0.25">
      <c r="A48" s="11"/>
      <c r="B48" s="40" t="s">
        <v>436</v>
      </c>
      <c r="C48" s="40" t="s">
        <v>437</v>
      </c>
      <c r="D48" s="47">
        <v>47.91</v>
      </c>
      <c r="E48" s="40" t="s">
        <v>421</v>
      </c>
      <c r="F48" s="40"/>
      <c r="G48" s="40" t="s">
        <v>12</v>
      </c>
      <c r="H48" s="40" t="s">
        <v>244</v>
      </c>
      <c r="I48" s="40" t="s">
        <v>430</v>
      </c>
      <c r="J48" s="39"/>
      <c r="K48" s="46" t="s">
        <v>438</v>
      </c>
      <c r="L48" s="46" t="s">
        <v>374</v>
      </c>
      <c r="M48" s="46"/>
      <c r="N48" s="40"/>
    </row>
    <row r="49" spans="1:14" ht="60" x14ac:dyDescent="0.25">
      <c r="A49" s="11"/>
      <c r="B49" s="40" t="s">
        <v>439</v>
      </c>
      <c r="C49" s="40" t="s">
        <v>440</v>
      </c>
      <c r="D49" s="47">
        <v>67.56</v>
      </c>
      <c r="E49" s="40" t="s">
        <v>421</v>
      </c>
      <c r="F49" s="40"/>
      <c r="G49" s="40" t="s">
        <v>12</v>
      </c>
      <c r="H49" s="40" t="s">
        <v>244</v>
      </c>
      <c r="I49" s="40" t="s">
        <v>391</v>
      </c>
      <c r="J49" s="39"/>
      <c r="K49" s="46" t="s">
        <v>441</v>
      </c>
      <c r="L49" s="46" t="s">
        <v>374</v>
      </c>
      <c r="M49" s="46"/>
      <c r="N49" s="40"/>
    </row>
    <row r="50" spans="1:14" ht="60" x14ac:dyDescent="0.25">
      <c r="A50" s="11"/>
      <c r="B50" s="40" t="s">
        <v>164</v>
      </c>
      <c r="C50" s="40" t="s">
        <v>165</v>
      </c>
      <c r="D50" s="47">
        <v>36.47</v>
      </c>
      <c r="E50" s="40" t="s">
        <v>421</v>
      </c>
      <c r="F50" s="40"/>
      <c r="G50" s="40" t="s">
        <v>127</v>
      </c>
      <c r="H50" s="40" t="s">
        <v>244</v>
      </c>
      <c r="I50" s="40" t="s">
        <v>373</v>
      </c>
      <c r="J50" s="39"/>
      <c r="K50" s="46" t="s">
        <v>442</v>
      </c>
      <c r="L50" s="46" t="s">
        <v>374</v>
      </c>
      <c r="M50" s="46"/>
      <c r="N50" s="40"/>
    </row>
    <row r="51" spans="1:14" ht="45" x14ac:dyDescent="0.25">
      <c r="A51" s="11"/>
      <c r="B51" s="61" t="s">
        <v>189</v>
      </c>
      <c r="C51" s="61" t="s">
        <v>443</v>
      </c>
      <c r="D51" s="71">
        <v>84.34</v>
      </c>
      <c r="E51" s="61" t="s">
        <v>421</v>
      </c>
      <c r="F51" s="61"/>
      <c r="G51" s="61" t="s">
        <v>444</v>
      </c>
      <c r="H51" s="62" t="s">
        <v>286</v>
      </c>
      <c r="I51" s="61" t="s">
        <v>394</v>
      </c>
      <c r="J51" s="73"/>
      <c r="K51" s="63" t="s">
        <v>376</v>
      </c>
      <c r="L51" s="63" t="s">
        <v>372</v>
      </c>
      <c r="M51" s="63"/>
      <c r="N51" s="61"/>
    </row>
    <row r="52" spans="1:14" x14ac:dyDescent="0.25">
      <c r="B52" s="66"/>
      <c r="C52" s="66"/>
      <c r="D52" s="66"/>
      <c r="E52" s="66"/>
      <c r="F52" s="66"/>
      <c r="G52" s="66"/>
      <c r="H52" s="66"/>
      <c r="I52" s="66"/>
      <c r="J52" s="69"/>
      <c r="K52" s="69"/>
      <c r="L52" s="69"/>
      <c r="M52" s="69"/>
      <c r="N52" s="66"/>
    </row>
    <row r="53" spans="1:14" x14ac:dyDescent="0.25">
      <c r="B53" s="66"/>
      <c r="C53" s="66"/>
      <c r="D53" s="66"/>
      <c r="E53" s="66"/>
      <c r="F53" s="66"/>
      <c r="G53" s="66"/>
      <c r="H53" s="66"/>
      <c r="I53" s="66"/>
      <c r="J53" s="69"/>
      <c r="K53" s="69"/>
      <c r="L53" s="69"/>
      <c r="M53" s="69"/>
      <c r="N53" s="66"/>
    </row>
    <row r="54" spans="1:14" x14ac:dyDescent="0.25">
      <c r="B54" s="66"/>
      <c r="C54" s="66"/>
      <c r="D54" s="66"/>
      <c r="E54" s="66"/>
      <c r="F54" s="66"/>
      <c r="G54" s="66"/>
      <c r="H54" s="66"/>
      <c r="I54" s="66"/>
      <c r="J54" s="69"/>
      <c r="K54" s="69"/>
      <c r="L54" s="69"/>
      <c r="M54" s="69"/>
      <c r="N54" s="66"/>
    </row>
    <row r="55" spans="1:14" x14ac:dyDescent="0.25">
      <c r="B55" s="66"/>
      <c r="C55" s="66"/>
      <c r="D55" s="66"/>
      <c r="E55" s="66"/>
      <c r="F55" s="66"/>
      <c r="G55" s="66"/>
      <c r="H55" s="66"/>
      <c r="I55" s="66"/>
      <c r="J55" s="69"/>
      <c r="K55" s="69"/>
      <c r="L55" s="69"/>
      <c r="M55" s="69"/>
      <c r="N55" s="66"/>
    </row>
    <row r="56" spans="1:14" x14ac:dyDescent="0.25">
      <c r="B56" s="66"/>
      <c r="C56" s="66"/>
      <c r="D56" s="66"/>
      <c r="E56" s="66"/>
      <c r="F56" s="66"/>
      <c r="G56" s="66"/>
      <c r="H56" s="66"/>
      <c r="I56" s="66"/>
      <c r="J56" s="69"/>
      <c r="K56" s="69"/>
      <c r="L56" s="69"/>
      <c r="M56" s="69"/>
      <c r="N56" s="66"/>
    </row>
    <row r="57" spans="1:14" x14ac:dyDescent="0.25">
      <c r="B57" s="66"/>
      <c r="C57" s="66"/>
      <c r="D57" s="66"/>
      <c r="E57" s="66"/>
      <c r="F57" s="66"/>
      <c r="G57" s="66"/>
      <c r="H57" s="66"/>
      <c r="I57" s="66"/>
      <c r="J57" s="69"/>
      <c r="K57" s="69"/>
      <c r="L57" s="69"/>
      <c r="M57" s="69"/>
      <c r="N57" s="66"/>
    </row>
    <row r="58" spans="1:14" x14ac:dyDescent="0.25">
      <c r="B58" s="66"/>
      <c r="C58" s="66"/>
      <c r="D58" s="66"/>
      <c r="E58" s="66"/>
      <c r="F58" s="66"/>
      <c r="G58" s="66"/>
      <c r="H58" s="66"/>
      <c r="I58" s="66"/>
      <c r="J58" s="69"/>
      <c r="K58" s="69"/>
      <c r="L58" s="69"/>
      <c r="M58" s="69"/>
      <c r="N58" s="66"/>
    </row>
    <row r="59" spans="1:14" x14ac:dyDescent="0.25">
      <c r="B59" s="66"/>
      <c r="C59" s="66"/>
      <c r="D59" s="66"/>
      <c r="E59" s="66"/>
      <c r="F59" s="66"/>
      <c r="G59" s="66"/>
      <c r="H59" s="66"/>
      <c r="I59" s="66"/>
      <c r="J59" s="69"/>
      <c r="K59" s="69"/>
      <c r="L59" s="69"/>
      <c r="M59" s="69"/>
      <c r="N59" s="66"/>
    </row>
    <row r="60" spans="1:14" x14ac:dyDescent="0.25">
      <c r="B60" s="66"/>
      <c r="C60" s="66"/>
      <c r="D60" s="66"/>
      <c r="E60" s="66"/>
      <c r="F60" s="66"/>
      <c r="G60" s="66"/>
      <c r="H60" s="66"/>
      <c r="I60" s="66"/>
      <c r="J60" s="69"/>
      <c r="K60" s="69"/>
      <c r="L60" s="69"/>
      <c r="M60" s="69"/>
      <c r="N60" s="66"/>
    </row>
    <row r="61" spans="1:14" x14ac:dyDescent="0.25">
      <c r="B61" s="66"/>
      <c r="C61" s="66"/>
      <c r="D61" s="66"/>
      <c r="E61" s="66"/>
      <c r="F61" s="66"/>
      <c r="G61" s="66"/>
      <c r="H61" s="66"/>
      <c r="I61" s="66"/>
      <c r="J61" s="69"/>
      <c r="K61" s="69"/>
      <c r="L61" s="69"/>
      <c r="M61" s="69"/>
      <c r="N61" s="66"/>
    </row>
    <row r="62" spans="1:14" x14ac:dyDescent="0.25">
      <c r="B62" s="66"/>
      <c r="C62" s="66"/>
      <c r="D62" s="66"/>
      <c r="E62" s="66"/>
      <c r="F62" s="66"/>
      <c r="G62" s="66"/>
      <c r="H62" s="66"/>
      <c r="I62" s="66"/>
      <c r="J62" s="69"/>
      <c r="K62" s="69"/>
      <c r="L62" s="69"/>
      <c r="M62" s="69"/>
      <c r="N62" s="66"/>
    </row>
    <row r="63" spans="1:14" x14ac:dyDescent="0.25">
      <c r="B63" s="66"/>
      <c r="C63" s="66"/>
      <c r="D63" s="66"/>
      <c r="E63" s="66"/>
      <c r="F63" s="66"/>
      <c r="G63" s="66"/>
      <c r="H63" s="66"/>
      <c r="I63" s="66"/>
      <c r="J63" s="69"/>
      <c r="K63" s="69"/>
      <c r="L63" s="69"/>
      <c r="M63" s="69"/>
      <c r="N63" s="66"/>
    </row>
    <row r="64" spans="1:14" x14ac:dyDescent="0.25">
      <c r="B64" s="66"/>
      <c r="C64" s="66"/>
      <c r="D64" s="66"/>
      <c r="E64" s="66"/>
      <c r="F64" s="66"/>
      <c r="G64" s="66"/>
      <c r="H64" s="66"/>
      <c r="I64" s="66"/>
      <c r="J64" s="69"/>
      <c r="K64" s="69"/>
      <c r="L64" s="69"/>
      <c r="M64" s="69"/>
      <c r="N64" s="66"/>
    </row>
    <row r="65" spans="2:14" x14ac:dyDescent="0.25">
      <c r="B65" s="66"/>
      <c r="C65" s="66"/>
      <c r="D65" s="66"/>
      <c r="E65" s="66"/>
      <c r="F65" s="66"/>
      <c r="G65" s="66"/>
      <c r="H65" s="66"/>
      <c r="I65" s="66"/>
      <c r="J65" s="69"/>
      <c r="K65" s="69"/>
      <c r="L65" s="69"/>
      <c r="M65" s="69"/>
      <c r="N65" s="66"/>
    </row>
    <row r="66" spans="2:14" x14ac:dyDescent="0.25">
      <c r="B66" s="66"/>
      <c r="C66" s="66"/>
      <c r="D66" s="66"/>
      <c r="E66" s="66"/>
      <c r="F66" s="66"/>
      <c r="G66" s="66"/>
      <c r="H66" s="66"/>
      <c r="I66" s="66"/>
      <c r="J66" s="69"/>
      <c r="K66" s="69"/>
      <c r="L66" s="69"/>
      <c r="M66" s="69"/>
      <c r="N66" s="66"/>
    </row>
    <row r="67" spans="2:14" x14ac:dyDescent="0.25">
      <c r="B67" s="66"/>
      <c r="C67" s="66"/>
      <c r="D67" s="66"/>
      <c r="E67" s="66"/>
      <c r="F67" s="66"/>
      <c r="G67" s="66"/>
      <c r="H67" s="66"/>
      <c r="I67" s="66"/>
      <c r="J67" s="69"/>
      <c r="K67" s="69"/>
      <c r="L67" s="69"/>
      <c r="M67" s="69"/>
      <c r="N67" s="66"/>
    </row>
    <row r="68" spans="2:14" x14ac:dyDescent="0.25">
      <c r="B68" s="66"/>
      <c r="C68" s="66"/>
      <c r="D68" s="66"/>
      <c r="E68" s="66"/>
      <c r="F68" s="66"/>
      <c r="G68" s="66"/>
      <c r="H68" s="66"/>
      <c r="I68" s="66"/>
      <c r="J68" s="69"/>
      <c r="K68" s="69"/>
      <c r="L68" s="69"/>
      <c r="M68" s="69"/>
      <c r="N68" s="66"/>
    </row>
    <row r="69" spans="2:14" x14ac:dyDescent="0.25">
      <c r="B69" s="66"/>
      <c r="C69" s="66"/>
      <c r="D69" s="66"/>
      <c r="E69" s="66"/>
      <c r="F69" s="66"/>
      <c r="G69" s="66"/>
      <c r="H69" s="66"/>
      <c r="I69" s="66"/>
      <c r="J69" s="69"/>
      <c r="K69" s="69"/>
      <c r="L69" s="69"/>
      <c r="M69" s="69"/>
      <c r="N69" s="66"/>
    </row>
    <row r="70" spans="2:14" x14ac:dyDescent="0.25">
      <c r="B70" s="66"/>
      <c r="C70" s="66"/>
      <c r="D70" s="66"/>
      <c r="E70" s="66"/>
      <c r="F70" s="66"/>
      <c r="G70" s="66"/>
      <c r="H70" s="66"/>
      <c r="I70" s="66"/>
      <c r="J70" s="69"/>
      <c r="K70" s="69"/>
      <c r="L70" s="69"/>
      <c r="M70" s="69"/>
      <c r="N70" s="66"/>
    </row>
    <row r="71" spans="2:14" x14ac:dyDescent="0.25">
      <c r="B71" s="66"/>
      <c r="C71" s="66"/>
      <c r="D71" s="66"/>
      <c r="E71" s="66"/>
      <c r="F71" s="66"/>
      <c r="G71" s="66"/>
      <c r="H71" s="66"/>
      <c r="I71" s="66"/>
      <c r="J71" s="69"/>
      <c r="K71" s="69"/>
      <c r="L71" s="69"/>
      <c r="M71" s="69"/>
      <c r="N71" s="66"/>
    </row>
    <row r="72" spans="2:14" x14ac:dyDescent="0.25">
      <c r="B72" s="66"/>
      <c r="C72" s="66"/>
      <c r="D72" s="66"/>
      <c r="E72" s="66"/>
      <c r="F72" s="66"/>
      <c r="G72" s="66"/>
      <c r="H72" s="66"/>
      <c r="I72" s="66"/>
      <c r="J72" s="69"/>
      <c r="K72" s="69"/>
      <c r="L72" s="69"/>
      <c r="M72" s="69"/>
      <c r="N72" s="66"/>
    </row>
    <row r="73" spans="2:14" x14ac:dyDescent="0.25">
      <c r="B73" s="66"/>
      <c r="C73" s="66"/>
      <c r="D73" s="66"/>
      <c r="E73" s="66"/>
      <c r="F73" s="66"/>
      <c r="G73" s="66"/>
      <c r="H73" s="66"/>
      <c r="I73" s="66"/>
      <c r="J73" s="69"/>
      <c r="K73" s="69"/>
      <c r="L73" s="69"/>
      <c r="M73" s="69"/>
      <c r="N73" s="66"/>
    </row>
    <row r="74" spans="2:14" x14ac:dyDescent="0.25">
      <c r="B74" s="66"/>
      <c r="C74" s="66"/>
      <c r="D74" s="66"/>
      <c r="E74" s="66"/>
      <c r="F74" s="66"/>
      <c r="G74" s="66"/>
      <c r="H74" s="66"/>
      <c r="I74" s="66"/>
      <c r="J74" s="69"/>
      <c r="K74" s="69"/>
      <c r="L74" s="69"/>
      <c r="M74" s="69"/>
      <c r="N74" s="66"/>
    </row>
    <row r="75" spans="2:14" x14ac:dyDescent="0.25">
      <c r="B75" s="66"/>
      <c r="C75" s="66"/>
      <c r="D75" s="66"/>
      <c r="E75" s="66"/>
      <c r="F75" s="66"/>
      <c r="G75" s="66"/>
      <c r="H75" s="66"/>
      <c r="I75" s="66"/>
      <c r="J75" s="69"/>
      <c r="K75" s="69"/>
      <c r="L75" s="69"/>
      <c r="M75" s="69"/>
      <c r="N75" s="66"/>
    </row>
    <row r="76" spans="2:14" x14ac:dyDescent="0.25">
      <c r="B76" s="66"/>
      <c r="C76" s="66"/>
      <c r="D76" s="66"/>
      <c r="E76" s="66"/>
      <c r="F76" s="66"/>
      <c r="G76" s="66"/>
      <c r="H76" s="66"/>
      <c r="I76" s="66"/>
      <c r="J76" s="69"/>
      <c r="K76" s="69"/>
      <c r="L76" s="69"/>
      <c r="M76" s="69"/>
      <c r="N76" s="66"/>
    </row>
    <row r="77" spans="2:14" x14ac:dyDescent="0.25">
      <c r="B77" s="66"/>
      <c r="C77" s="66"/>
      <c r="D77" s="66"/>
      <c r="E77" s="66"/>
      <c r="F77" s="66"/>
      <c r="G77" s="66"/>
      <c r="H77" s="66"/>
      <c r="I77" s="66"/>
      <c r="J77" s="69"/>
      <c r="K77" s="69"/>
      <c r="L77" s="69"/>
      <c r="M77" s="69"/>
      <c r="N77" s="66"/>
    </row>
    <row r="78" spans="2:14" x14ac:dyDescent="0.25">
      <c r="B78" s="66"/>
      <c r="C78" s="66"/>
      <c r="D78" s="66"/>
      <c r="E78" s="66"/>
      <c r="F78" s="66"/>
      <c r="G78" s="66"/>
      <c r="H78" s="66"/>
      <c r="I78" s="66"/>
      <c r="J78" s="69"/>
      <c r="K78" s="69"/>
      <c r="L78" s="69"/>
      <c r="M78" s="69"/>
      <c r="N78" s="66"/>
    </row>
    <row r="79" spans="2:14" x14ac:dyDescent="0.25">
      <c r="B79" s="66"/>
      <c r="C79" s="66"/>
      <c r="D79" s="66"/>
      <c r="E79" s="66"/>
      <c r="F79" s="66"/>
      <c r="G79" s="66"/>
      <c r="H79" s="66"/>
      <c r="I79" s="66"/>
      <c r="J79" s="69"/>
      <c r="K79" s="69"/>
      <c r="L79" s="69"/>
      <c r="M79" s="69"/>
      <c r="N79" s="66"/>
    </row>
    <row r="80" spans="2:14" x14ac:dyDescent="0.25">
      <c r="B80" s="66"/>
      <c r="C80" s="66"/>
      <c r="D80" s="66"/>
      <c r="E80" s="66"/>
      <c r="F80" s="66"/>
      <c r="G80" s="66"/>
      <c r="H80" s="66"/>
      <c r="I80" s="66"/>
      <c r="J80" s="69"/>
      <c r="K80" s="69"/>
      <c r="L80" s="69"/>
      <c r="M80" s="69"/>
      <c r="N80" s="66"/>
    </row>
    <row r="81" spans="2:14" x14ac:dyDescent="0.25">
      <c r="B81" s="66"/>
      <c r="C81" s="66"/>
      <c r="D81" s="66"/>
      <c r="E81" s="66"/>
      <c r="F81" s="66"/>
      <c r="G81" s="66"/>
      <c r="H81" s="66"/>
      <c r="I81" s="66"/>
      <c r="J81" s="69"/>
      <c r="K81" s="69"/>
      <c r="L81" s="69"/>
      <c r="M81" s="69"/>
      <c r="N81" s="66"/>
    </row>
    <row r="82" spans="2:14" x14ac:dyDescent="0.25">
      <c r="B82" s="66"/>
      <c r="C82" s="66"/>
      <c r="D82" s="66"/>
      <c r="E82" s="66"/>
      <c r="F82" s="66"/>
      <c r="G82" s="66"/>
      <c r="H82" s="66"/>
      <c r="I82" s="66"/>
      <c r="J82" s="69"/>
      <c r="K82" s="69"/>
      <c r="L82" s="69"/>
      <c r="M82" s="69"/>
      <c r="N82" s="66"/>
    </row>
    <row r="83" spans="2:14" x14ac:dyDescent="0.25">
      <c r="B83" s="66"/>
      <c r="C83" s="66"/>
      <c r="D83" s="66"/>
      <c r="E83" s="66"/>
      <c r="F83" s="66"/>
      <c r="G83" s="66"/>
      <c r="H83" s="66"/>
      <c r="I83" s="66"/>
      <c r="J83" s="69"/>
      <c r="K83" s="69"/>
      <c r="L83" s="69"/>
      <c r="M83" s="69"/>
      <c r="N83" s="66"/>
    </row>
    <row r="84" spans="2:14" x14ac:dyDescent="0.25">
      <c r="B84" s="66"/>
      <c r="C84" s="66"/>
      <c r="D84" s="66"/>
      <c r="E84" s="66"/>
      <c r="F84" s="66"/>
      <c r="G84" s="66"/>
      <c r="H84" s="66"/>
      <c r="I84" s="66"/>
      <c r="J84" s="69"/>
      <c r="K84" s="69"/>
      <c r="L84" s="69"/>
      <c r="M84" s="69"/>
      <c r="N84" s="66"/>
    </row>
    <row r="85" spans="2:14" x14ac:dyDescent="0.25">
      <c r="B85" s="66"/>
      <c r="C85" s="66"/>
      <c r="D85" s="66"/>
      <c r="E85" s="66"/>
      <c r="F85" s="66"/>
      <c r="G85" s="66"/>
      <c r="H85" s="66"/>
      <c r="I85" s="66"/>
      <c r="J85" s="69"/>
      <c r="K85" s="69"/>
      <c r="L85" s="69"/>
      <c r="M85" s="69"/>
      <c r="N85" s="66"/>
    </row>
    <row r="86" spans="2:14" x14ac:dyDescent="0.25">
      <c r="B86" s="66"/>
      <c r="C86" s="66"/>
      <c r="D86" s="66"/>
      <c r="E86" s="66"/>
      <c r="F86" s="66"/>
      <c r="G86" s="66"/>
      <c r="H86" s="66"/>
      <c r="I86" s="66"/>
      <c r="J86" s="69"/>
      <c r="K86" s="69"/>
      <c r="L86" s="69"/>
      <c r="M86" s="69"/>
      <c r="N86" s="66"/>
    </row>
    <row r="87" spans="2:14" x14ac:dyDescent="0.25">
      <c r="B87" s="66"/>
      <c r="C87" s="66"/>
      <c r="D87" s="66"/>
      <c r="E87" s="66"/>
      <c r="F87" s="66"/>
      <c r="G87" s="66"/>
      <c r="H87" s="66"/>
      <c r="I87" s="66"/>
      <c r="J87" s="69"/>
      <c r="K87" s="69"/>
      <c r="L87" s="69"/>
      <c r="M87" s="69"/>
      <c r="N87" s="66"/>
    </row>
    <row r="88" spans="2:14" x14ac:dyDescent="0.25">
      <c r="B88" s="66"/>
      <c r="C88" s="66"/>
      <c r="D88" s="66"/>
      <c r="E88" s="66"/>
      <c r="F88" s="66"/>
      <c r="G88" s="66"/>
      <c r="H88" s="66"/>
      <c r="I88" s="66"/>
      <c r="J88" s="69"/>
      <c r="K88" s="69"/>
      <c r="L88" s="69"/>
      <c r="M88" s="69"/>
      <c r="N88" s="66"/>
    </row>
    <row r="89" spans="2:14" x14ac:dyDescent="0.25">
      <c r="B89" s="66"/>
      <c r="C89" s="66"/>
      <c r="D89" s="66"/>
      <c r="E89" s="66"/>
      <c r="F89" s="66"/>
      <c r="G89" s="66"/>
      <c r="H89" s="66"/>
      <c r="I89" s="66"/>
      <c r="J89" s="69"/>
      <c r="K89" s="69"/>
      <c r="L89" s="69"/>
      <c r="M89" s="69"/>
      <c r="N89" s="66"/>
    </row>
    <row r="90" spans="2:14" x14ac:dyDescent="0.25">
      <c r="B90" s="66"/>
      <c r="C90" s="66"/>
      <c r="D90" s="66"/>
      <c r="E90" s="66"/>
      <c r="F90" s="66"/>
      <c r="G90" s="66"/>
      <c r="H90" s="66"/>
      <c r="I90" s="66"/>
      <c r="J90" s="69"/>
      <c r="K90" s="69"/>
      <c r="L90" s="69"/>
      <c r="M90" s="69"/>
      <c r="N90" s="66"/>
    </row>
    <row r="91" spans="2:14" x14ac:dyDescent="0.25">
      <c r="B91" s="66"/>
      <c r="C91" s="66"/>
      <c r="D91" s="66"/>
      <c r="E91" s="66"/>
      <c r="F91" s="66"/>
      <c r="G91" s="66"/>
      <c r="H91" s="66"/>
      <c r="I91" s="66"/>
      <c r="J91" s="69"/>
      <c r="K91" s="69"/>
      <c r="L91" s="69"/>
      <c r="M91" s="69"/>
      <c r="N91" s="66"/>
    </row>
    <row r="92" spans="2:14" x14ac:dyDescent="0.25">
      <c r="B92" s="66"/>
      <c r="C92" s="66"/>
      <c r="D92" s="66"/>
      <c r="E92" s="66"/>
      <c r="F92" s="66"/>
      <c r="G92" s="66"/>
      <c r="H92" s="66"/>
      <c r="I92" s="66"/>
      <c r="J92" s="69"/>
      <c r="K92" s="69"/>
      <c r="L92" s="69"/>
      <c r="M92" s="69"/>
      <c r="N92" s="66"/>
    </row>
    <row r="93" spans="2:14" x14ac:dyDescent="0.25">
      <c r="B93" s="66"/>
      <c r="C93" s="66"/>
      <c r="D93" s="66"/>
      <c r="E93" s="66"/>
      <c r="F93" s="66"/>
      <c r="G93" s="66"/>
      <c r="H93" s="66"/>
      <c r="I93" s="66"/>
      <c r="J93" s="69"/>
      <c r="K93" s="69"/>
      <c r="L93" s="69"/>
      <c r="M93" s="69"/>
      <c r="N93" s="66"/>
    </row>
    <row r="94" spans="2:14" x14ac:dyDescent="0.25">
      <c r="B94" s="66"/>
      <c r="C94" s="66"/>
      <c r="D94" s="66"/>
      <c r="E94" s="66"/>
      <c r="F94" s="66"/>
      <c r="G94" s="66"/>
      <c r="H94" s="66"/>
      <c r="I94" s="66"/>
      <c r="J94" s="69"/>
      <c r="K94" s="69"/>
      <c r="L94" s="69"/>
      <c r="M94" s="69"/>
      <c r="N94" s="66"/>
    </row>
    <row r="95" spans="2:14" x14ac:dyDescent="0.25">
      <c r="B95" s="66"/>
      <c r="C95" s="66"/>
      <c r="D95" s="66"/>
      <c r="E95" s="66"/>
      <c r="F95" s="66"/>
      <c r="G95" s="66"/>
      <c r="H95" s="66"/>
      <c r="I95" s="66"/>
      <c r="J95" s="69"/>
      <c r="K95" s="69"/>
      <c r="L95" s="69"/>
      <c r="M95" s="69"/>
      <c r="N95" s="66"/>
    </row>
    <row r="96" spans="2:14" x14ac:dyDescent="0.25">
      <c r="B96" s="66"/>
      <c r="C96" s="66"/>
      <c r="D96" s="66"/>
      <c r="E96" s="66"/>
      <c r="F96" s="66"/>
      <c r="G96" s="66"/>
      <c r="H96" s="66"/>
      <c r="I96" s="66"/>
      <c r="J96" s="69"/>
      <c r="K96" s="69"/>
      <c r="L96" s="69"/>
      <c r="M96" s="69"/>
      <c r="N96" s="66"/>
    </row>
    <row r="97" spans="2:14" x14ac:dyDescent="0.25">
      <c r="B97" s="66"/>
      <c r="C97" s="66"/>
      <c r="D97" s="66"/>
      <c r="E97" s="66"/>
      <c r="F97" s="66"/>
      <c r="G97" s="66"/>
      <c r="H97" s="66"/>
      <c r="I97" s="66"/>
      <c r="J97" s="69"/>
      <c r="K97" s="69"/>
      <c r="L97" s="69"/>
      <c r="M97" s="69"/>
      <c r="N97" s="66"/>
    </row>
    <row r="98" spans="2:14" x14ac:dyDescent="0.25">
      <c r="B98" s="66"/>
      <c r="C98" s="66"/>
      <c r="D98" s="66"/>
      <c r="E98" s="66"/>
      <c r="F98" s="66"/>
      <c r="G98" s="66"/>
      <c r="H98" s="66"/>
      <c r="I98" s="66"/>
      <c r="J98" s="69"/>
      <c r="K98" s="69"/>
      <c r="L98" s="69"/>
      <c r="M98" s="69"/>
      <c r="N98" s="66"/>
    </row>
    <row r="99" spans="2:14" x14ac:dyDescent="0.25">
      <c r="B99" s="66"/>
      <c r="C99" s="66"/>
      <c r="D99" s="66"/>
      <c r="E99" s="66"/>
      <c r="F99" s="66"/>
      <c r="G99" s="66"/>
      <c r="H99" s="66"/>
      <c r="I99" s="66"/>
      <c r="J99" s="69"/>
      <c r="K99" s="69"/>
      <c r="L99" s="69"/>
      <c r="M99" s="69"/>
      <c r="N99" s="66"/>
    </row>
    <row r="100" spans="2:14" x14ac:dyDescent="0.25">
      <c r="B100" s="66"/>
      <c r="C100" s="66"/>
      <c r="D100" s="66"/>
      <c r="E100" s="66"/>
      <c r="F100" s="66"/>
      <c r="G100" s="66"/>
      <c r="H100" s="66"/>
      <c r="I100" s="66"/>
      <c r="J100" s="69"/>
      <c r="K100" s="69"/>
      <c r="L100" s="69"/>
      <c r="M100" s="69"/>
      <c r="N100" s="66"/>
    </row>
    <row r="101" spans="2:14" x14ac:dyDescent="0.25">
      <c r="B101" s="66"/>
      <c r="C101" s="66"/>
      <c r="D101" s="66"/>
      <c r="E101" s="66"/>
      <c r="F101" s="66"/>
      <c r="G101" s="66"/>
      <c r="H101" s="66"/>
      <c r="I101" s="66"/>
      <c r="J101" s="69"/>
      <c r="K101" s="69"/>
      <c r="L101" s="69"/>
      <c r="M101" s="69"/>
      <c r="N101" s="66"/>
    </row>
    <row r="102" spans="2:14" x14ac:dyDescent="0.25">
      <c r="B102" s="66"/>
      <c r="C102" s="66"/>
      <c r="D102" s="66"/>
      <c r="E102" s="66"/>
      <c r="F102" s="66"/>
      <c r="G102" s="66"/>
      <c r="H102" s="66"/>
      <c r="I102" s="66"/>
      <c r="J102" s="69"/>
      <c r="K102" s="69"/>
      <c r="L102" s="69"/>
      <c r="M102" s="69"/>
      <c r="N102" s="66"/>
    </row>
    <row r="103" spans="2:14" x14ac:dyDescent="0.25">
      <c r="B103" s="66"/>
      <c r="C103" s="66"/>
      <c r="D103" s="66"/>
      <c r="E103" s="66"/>
      <c r="F103" s="66"/>
      <c r="G103" s="66"/>
      <c r="H103" s="66"/>
      <c r="I103" s="66"/>
      <c r="J103" s="69"/>
      <c r="K103" s="69"/>
      <c r="L103" s="69"/>
      <c r="M103" s="69"/>
      <c r="N103" s="66"/>
    </row>
    <row r="104" spans="2:14" x14ac:dyDescent="0.25">
      <c r="B104" s="66"/>
      <c r="C104" s="66"/>
      <c r="D104" s="66"/>
      <c r="E104" s="66"/>
      <c r="F104" s="66"/>
      <c r="G104" s="66"/>
      <c r="H104" s="66"/>
      <c r="I104" s="66"/>
      <c r="J104" s="69"/>
      <c r="K104" s="69"/>
      <c r="L104" s="69"/>
      <c r="M104" s="69"/>
      <c r="N104" s="66"/>
    </row>
    <row r="105" spans="2:14" x14ac:dyDescent="0.25">
      <c r="B105" s="66"/>
      <c r="C105" s="66"/>
      <c r="D105" s="66"/>
      <c r="E105" s="66"/>
      <c r="F105" s="66"/>
      <c r="G105" s="66"/>
      <c r="H105" s="66"/>
      <c r="I105" s="66"/>
      <c r="J105" s="69"/>
      <c r="K105" s="69"/>
      <c r="L105" s="69"/>
      <c r="M105" s="69"/>
      <c r="N105" s="66"/>
    </row>
    <row r="106" spans="2:14" x14ac:dyDescent="0.25">
      <c r="B106" s="66"/>
      <c r="C106" s="66"/>
      <c r="D106" s="66"/>
      <c r="E106" s="66"/>
      <c r="F106" s="66"/>
      <c r="G106" s="66"/>
      <c r="H106" s="66"/>
      <c r="I106" s="66"/>
      <c r="J106" s="69"/>
      <c r="K106" s="69"/>
      <c r="L106" s="69"/>
      <c r="M106" s="69"/>
      <c r="N106" s="66"/>
    </row>
    <row r="107" spans="2:14" x14ac:dyDescent="0.25">
      <c r="B107" s="66"/>
      <c r="C107" s="66"/>
      <c r="D107" s="66"/>
      <c r="E107" s="66"/>
      <c r="F107" s="66"/>
      <c r="G107" s="66"/>
      <c r="H107" s="66"/>
      <c r="I107" s="66"/>
      <c r="J107" s="69"/>
      <c r="K107" s="69"/>
      <c r="L107" s="69"/>
      <c r="M107" s="69"/>
      <c r="N107" s="66"/>
    </row>
    <row r="108" spans="2:14" x14ac:dyDescent="0.25">
      <c r="B108" s="66"/>
      <c r="C108" s="66"/>
      <c r="D108" s="66"/>
      <c r="E108" s="66"/>
      <c r="F108" s="66"/>
      <c r="G108" s="66"/>
      <c r="H108" s="66"/>
      <c r="I108" s="66"/>
      <c r="J108" s="69"/>
      <c r="K108" s="69"/>
      <c r="L108" s="69"/>
      <c r="M108" s="69"/>
      <c r="N108" s="66"/>
    </row>
    <row r="109" spans="2:14" x14ac:dyDescent="0.25">
      <c r="B109" s="66"/>
      <c r="C109" s="66"/>
      <c r="D109" s="66"/>
      <c r="E109" s="66"/>
      <c r="F109" s="66"/>
      <c r="G109" s="66"/>
      <c r="H109" s="66"/>
      <c r="I109" s="66"/>
      <c r="J109" s="69"/>
      <c r="K109" s="69"/>
      <c r="L109" s="69"/>
      <c r="M109" s="69"/>
      <c r="N109" s="66"/>
    </row>
    <row r="110" spans="2:14" x14ac:dyDescent="0.25">
      <c r="B110" s="66"/>
      <c r="C110" s="66"/>
      <c r="D110" s="66"/>
      <c r="E110" s="66"/>
      <c r="F110" s="66"/>
      <c r="G110" s="66"/>
      <c r="H110" s="66"/>
      <c r="I110" s="66"/>
      <c r="J110" s="69"/>
      <c r="K110" s="69"/>
      <c r="L110" s="69"/>
      <c r="M110" s="69"/>
      <c r="N110" s="66"/>
    </row>
    <row r="111" spans="2:14" x14ac:dyDescent="0.25">
      <c r="B111" s="66"/>
      <c r="C111" s="66"/>
      <c r="D111" s="66"/>
      <c r="E111" s="66"/>
      <c r="F111" s="66"/>
      <c r="G111" s="66"/>
      <c r="H111" s="66"/>
      <c r="I111" s="66"/>
      <c r="J111" s="69"/>
      <c r="K111" s="69"/>
      <c r="L111" s="69"/>
      <c r="M111" s="69"/>
      <c r="N111" s="66"/>
    </row>
    <row r="112" spans="2:14" x14ac:dyDescent="0.25">
      <c r="B112" s="66"/>
      <c r="C112" s="66"/>
      <c r="D112" s="66"/>
      <c r="E112" s="66"/>
      <c r="F112" s="66"/>
      <c r="G112" s="66"/>
      <c r="H112" s="66"/>
      <c r="I112" s="66"/>
      <c r="J112" s="69"/>
      <c r="K112" s="69"/>
      <c r="L112" s="69"/>
      <c r="M112" s="69"/>
      <c r="N112" s="66"/>
    </row>
    <row r="113" spans="2:14" x14ac:dyDescent="0.25">
      <c r="B113" s="66"/>
      <c r="C113" s="66"/>
      <c r="D113" s="66"/>
      <c r="E113" s="66"/>
      <c r="F113" s="66"/>
      <c r="G113" s="66"/>
      <c r="H113" s="66"/>
      <c r="I113" s="66"/>
      <c r="J113" s="69"/>
      <c r="K113" s="69"/>
      <c r="L113" s="69"/>
      <c r="M113" s="69"/>
      <c r="N113" s="66"/>
    </row>
    <row r="114" spans="2:14" x14ac:dyDescent="0.25">
      <c r="B114" s="66"/>
      <c r="C114" s="66"/>
      <c r="D114" s="66"/>
      <c r="E114" s="66"/>
      <c r="F114" s="66"/>
      <c r="G114" s="66"/>
      <c r="H114" s="66"/>
      <c r="I114" s="66"/>
      <c r="J114" s="69"/>
      <c r="K114" s="69"/>
      <c r="L114" s="69"/>
      <c r="M114" s="69"/>
      <c r="N114" s="66"/>
    </row>
    <row r="115" spans="2:14" x14ac:dyDescent="0.25">
      <c r="B115" s="66"/>
      <c r="C115" s="66"/>
      <c r="D115" s="66"/>
      <c r="E115" s="66"/>
      <c r="F115" s="66"/>
      <c r="G115" s="66"/>
      <c r="H115" s="66"/>
      <c r="I115" s="66"/>
      <c r="J115" s="69"/>
      <c r="K115" s="69"/>
      <c r="L115" s="69"/>
      <c r="M115" s="69"/>
      <c r="N115" s="66"/>
    </row>
    <row r="116" spans="2:14" x14ac:dyDescent="0.25">
      <c r="B116" s="66"/>
      <c r="C116" s="66"/>
      <c r="D116" s="66"/>
      <c r="E116" s="66"/>
      <c r="F116" s="66"/>
      <c r="G116" s="66"/>
      <c r="H116" s="66"/>
      <c r="I116" s="66"/>
      <c r="J116" s="69"/>
      <c r="K116" s="69"/>
      <c r="L116" s="69"/>
      <c r="M116" s="69"/>
      <c r="N116" s="66"/>
    </row>
    <row r="117" spans="2:14" x14ac:dyDescent="0.25">
      <c r="B117" s="66"/>
      <c r="C117" s="66"/>
      <c r="D117" s="66"/>
      <c r="E117" s="66"/>
      <c r="F117" s="66"/>
      <c r="G117" s="66"/>
      <c r="H117" s="66"/>
      <c r="I117" s="66"/>
      <c r="J117" s="69"/>
      <c r="K117" s="69"/>
      <c r="L117" s="69"/>
      <c r="M117" s="69"/>
      <c r="N117" s="66"/>
    </row>
    <row r="118" spans="2:14" x14ac:dyDescent="0.25">
      <c r="B118" s="66"/>
      <c r="C118" s="66"/>
      <c r="D118" s="66"/>
      <c r="E118" s="66"/>
      <c r="F118" s="66"/>
      <c r="G118" s="66"/>
      <c r="H118" s="66"/>
      <c r="I118" s="66"/>
      <c r="J118" s="69"/>
      <c r="K118" s="69"/>
      <c r="L118" s="69"/>
      <c r="M118" s="69"/>
      <c r="N118" s="66"/>
    </row>
    <row r="119" spans="2:14" x14ac:dyDescent="0.25">
      <c r="B119" s="66"/>
      <c r="C119" s="66"/>
      <c r="D119" s="66"/>
      <c r="E119" s="66"/>
      <c r="F119" s="66"/>
      <c r="G119" s="66"/>
      <c r="H119" s="66"/>
      <c r="I119" s="66"/>
      <c r="J119" s="69"/>
      <c r="K119" s="69"/>
      <c r="L119" s="69"/>
      <c r="M119" s="69"/>
      <c r="N119" s="66"/>
    </row>
    <row r="120" spans="2:14" x14ac:dyDescent="0.25">
      <c r="B120" s="66"/>
      <c r="C120" s="66"/>
      <c r="D120" s="66"/>
      <c r="E120" s="66"/>
      <c r="F120" s="66"/>
      <c r="G120" s="66"/>
      <c r="H120" s="66"/>
      <c r="I120" s="66"/>
      <c r="J120" s="69"/>
      <c r="K120" s="69"/>
      <c r="L120" s="69"/>
      <c r="M120" s="69"/>
      <c r="N120" s="66"/>
    </row>
    <row r="121" spans="2:14" x14ac:dyDescent="0.25">
      <c r="B121" s="66"/>
      <c r="C121" s="66"/>
      <c r="D121" s="66"/>
      <c r="E121" s="66"/>
      <c r="F121" s="66"/>
      <c r="G121" s="66"/>
      <c r="H121" s="66"/>
      <c r="I121" s="66"/>
      <c r="J121" s="69"/>
      <c r="K121" s="69"/>
      <c r="L121" s="69"/>
      <c r="M121" s="69"/>
      <c r="N121" s="66"/>
    </row>
    <row r="122" spans="2:14" x14ac:dyDescent="0.25">
      <c r="B122" s="66"/>
      <c r="C122" s="66"/>
      <c r="D122" s="66"/>
      <c r="E122" s="66"/>
      <c r="F122" s="66"/>
      <c r="G122" s="66"/>
      <c r="H122" s="66"/>
      <c r="I122" s="66"/>
      <c r="J122" s="69"/>
      <c r="K122" s="69"/>
      <c r="L122" s="69"/>
      <c r="M122" s="69"/>
      <c r="N122" s="66"/>
    </row>
    <row r="123" spans="2:14" x14ac:dyDescent="0.25">
      <c r="B123" s="66"/>
      <c r="C123" s="66"/>
      <c r="D123" s="66"/>
      <c r="E123" s="66"/>
      <c r="F123" s="66"/>
      <c r="G123" s="66"/>
      <c r="H123" s="66"/>
      <c r="I123" s="66"/>
      <c r="J123" s="69"/>
      <c r="K123" s="69"/>
      <c r="L123" s="69"/>
      <c r="M123" s="69"/>
      <c r="N123" s="66"/>
    </row>
    <row r="124" spans="2:14" x14ac:dyDescent="0.25">
      <c r="B124" s="66"/>
      <c r="C124" s="66"/>
      <c r="D124" s="66"/>
      <c r="E124" s="66"/>
      <c r="F124" s="66"/>
      <c r="G124" s="66"/>
      <c r="H124" s="66"/>
      <c r="I124" s="66"/>
      <c r="J124" s="69"/>
      <c r="K124" s="69"/>
      <c r="L124" s="69"/>
      <c r="M124" s="69"/>
      <c r="N124" s="66"/>
    </row>
    <row r="125" spans="2:14" x14ac:dyDescent="0.25">
      <c r="B125" s="66"/>
      <c r="C125" s="66"/>
      <c r="D125" s="66"/>
      <c r="E125" s="66"/>
      <c r="F125" s="66"/>
      <c r="G125" s="66"/>
      <c r="H125" s="66"/>
      <c r="I125" s="66"/>
      <c r="J125" s="69"/>
      <c r="K125" s="69"/>
      <c r="L125" s="69"/>
      <c r="M125" s="69"/>
      <c r="N125" s="66"/>
    </row>
    <row r="126" spans="2:14" x14ac:dyDescent="0.25">
      <c r="B126" s="66"/>
      <c r="C126" s="66"/>
      <c r="D126" s="66"/>
      <c r="E126" s="66"/>
      <c r="F126" s="66"/>
      <c r="G126" s="66"/>
      <c r="H126" s="66"/>
      <c r="I126" s="66"/>
      <c r="J126" s="69"/>
      <c r="K126" s="69"/>
      <c r="L126" s="69"/>
      <c r="M126" s="69"/>
      <c r="N126" s="66"/>
    </row>
    <row r="127" spans="2:14" x14ac:dyDescent="0.25">
      <c r="B127" s="66"/>
      <c r="C127" s="66"/>
      <c r="D127" s="66"/>
      <c r="E127" s="66"/>
      <c r="F127" s="66"/>
      <c r="G127" s="66"/>
      <c r="H127" s="66"/>
      <c r="I127" s="66"/>
      <c r="J127" s="69"/>
      <c r="K127" s="69"/>
      <c r="L127" s="69"/>
      <c r="M127" s="69"/>
      <c r="N127" s="66"/>
    </row>
    <row r="128" spans="2:14" x14ac:dyDescent="0.25">
      <c r="B128" s="66"/>
      <c r="C128" s="66"/>
      <c r="D128" s="66"/>
      <c r="E128" s="66"/>
      <c r="F128" s="66"/>
      <c r="G128" s="66"/>
      <c r="H128" s="66"/>
      <c r="I128" s="66"/>
      <c r="J128" s="69"/>
      <c r="K128" s="69"/>
      <c r="L128" s="69"/>
      <c r="M128" s="69"/>
      <c r="N128" s="66"/>
    </row>
    <row r="129" spans="2:14" x14ac:dyDescent="0.25">
      <c r="B129" s="66"/>
      <c r="C129" s="66"/>
      <c r="D129" s="66"/>
      <c r="E129" s="66"/>
      <c r="F129" s="66"/>
      <c r="G129" s="66"/>
      <c r="H129" s="66"/>
      <c r="I129" s="66"/>
      <c r="J129" s="69"/>
      <c r="K129" s="69"/>
      <c r="L129" s="69"/>
      <c r="M129" s="69"/>
      <c r="N129" s="66"/>
    </row>
    <row r="130" spans="2:14" x14ac:dyDescent="0.25">
      <c r="B130" s="66"/>
      <c r="C130" s="66"/>
      <c r="D130" s="66"/>
      <c r="E130" s="66"/>
      <c r="F130" s="66"/>
      <c r="G130" s="66"/>
      <c r="H130" s="66"/>
      <c r="I130" s="66"/>
      <c r="J130" s="69"/>
      <c r="K130" s="69"/>
      <c r="L130" s="69"/>
      <c r="M130" s="69"/>
      <c r="N130" s="66"/>
    </row>
    <row r="131" spans="2:14" x14ac:dyDescent="0.25">
      <c r="B131" s="66"/>
      <c r="C131" s="66"/>
      <c r="D131" s="66"/>
      <c r="E131" s="66"/>
      <c r="F131" s="66"/>
      <c r="G131" s="66"/>
      <c r="H131" s="66"/>
      <c r="I131" s="66"/>
      <c r="J131" s="69"/>
      <c r="K131" s="69"/>
      <c r="L131" s="69"/>
      <c r="M131" s="69"/>
      <c r="N131" s="66"/>
    </row>
    <row r="132" spans="2:14" x14ac:dyDescent="0.25">
      <c r="B132" s="66"/>
      <c r="C132" s="66"/>
      <c r="D132" s="66"/>
      <c r="E132" s="66"/>
      <c r="F132" s="66"/>
      <c r="G132" s="66"/>
      <c r="H132" s="66"/>
      <c r="I132" s="66"/>
      <c r="J132" s="69"/>
      <c r="K132" s="69"/>
      <c r="L132" s="69"/>
      <c r="M132" s="69"/>
      <c r="N132" s="66"/>
    </row>
    <row r="133" spans="2:14" x14ac:dyDescent="0.25">
      <c r="B133" s="66"/>
      <c r="C133" s="66"/>
      <c r="D133" s="66"/>
      <c r="E133" s="66"/>
      <c r="F133" s="66"/>
      <c r="G133" s="66"/>
      <c r="H133" s="66"/>
      <c r="I133" s="66"/>
      <c r="J133" s="69"/>
      <c r="K133" s="69"/>
      <c r="L133" s="69"/>
      <c r="M133" s="69"/>
      <c r="N133" s="66"/>
    </row>
    <row r="134" spans="2:14" x14ac:dyDescent="0.25">
      <c r="B134" s="66"/>
      <c r="C134" s="66"/>
      <c r="D134" s="66"/>
      <c r="E134" s="66"/>
      <c r="F134" s="66"/>
      <c r="G134" s="66"/>
      <c r="H134" s="66"/>
      <c r="I134" s="66"/>
      <c r="J134" s="69"/>
      <c r="K134" s="69"/>
      <c r="L134" s="69"/>
      <c r="M134" s="69"/>
      <c r="N134" s="66"/>
    </row>
    <row r="135" spans="2:14" x14ac:dyDescent="0.25">
      <c r="B135" s="66"/>
      <c r="C135" s="66"/>
      <c r="D135" s="66"/>
      <c r="E135" s="66"/>
      <c r="F135" s="66"/>
      <c r="G135" s="66"/>
      <c r="H135" s="66"/>
      <c r="I135" s="66"/>
      <c r="J135" s="69"/>
      <c r="K135" s="69"/>
      <c r="L135" s="69"/>
      <c r="M135" s="69"/>
      <c r="N135" s="66"/>
    </row>
    <row r="136" spans="2:14" x14ac:dyDescent="0.25">
      <c r="B136" s="66"/>
      <c r="C136" s="66"/>
      <c r="D136" s="66"/>
      <c r="E136" s="66"/>
      <c r="F136" s="66"/>
      <c r="G136" s="66"/>
      <c r="H136" s="66"/>
      <c r="I136" s="66"/>
      <c r="J136" s="69"/>
      <c r="K136" s="69"/>
      <c r="L136" s="69"/>
      <c r="M136" s="69"/>
      <c r="N136" s="66"/>
    </row>
    <row r="137" spans="2:14" x14ac:dyDescent="0.25">
      <c r="B137" s="66"/>
      <c r="C137" s="66"/>
      <c r="D137" s="66"/>
      <c r="E137" s="66"/>
      <c r="F137" s="66"/>
      <c r="G137" s="66"/>
      <c r="H137" s="66"/>
      <c r="I137" s="66"/>
      <c r="J137" s="69"/>
      <c r="K137" s="69"/>
      <c r="L137" s="69"/>
      <c r="M137" s="69"/>
      <c r="N137" s="66"/>
    </row>
    <row r="138" spans="2:14" x14ac:dyDescent="0.25">
      <c r="B138" s="66"/>
      <c r="C138" s="66"/>
      <c r="D138" s="66"/>
      <c r="E138" s="66"/>
      <c r="F138" s="66"/>
      <c r="G138" s="66"/>
      <c r="H138" s="66"/>
      <c r="I138" s="66"/>
      <c r="J138" s="69"/>
      <c r="K138" s="69"/>
      <c r="L138" s="69"/>
      <c r="M138" s="69"/>
      <c r="N138" s="66"/>
    </row>
    <row r="139" spans="2:14" x14ac:dyDescent="0.25">
      <c r="B139" s="66"/>
      <c r="C139" s="66"/>
      <c r="D139" s="66"/>
      <c r="E139" s="66"/>
      <c r="F139" s="66"/>
      <c r="G139" s="66"/>
      <c r="H139" s="66"/>
      <c r="I139" s="66"/>
      <c r="J139" s="69"/>
      <c r="K139" s="69"/>
      <c r="L139" s="69"/>
      <c r="M139" s="69"/>
      <c r="N139" s="66"/>
    </row>
    <row r="140" spans="2:14" x14ac:dyDescent="0.25">
      <c r="B140" s="66"/>
      <c r="C140" s="66"/>
      <c r="D140" s="66"/>
      <c r="E140" s="66"/>
      <c r="F140" s="66"/>
      <c r="G140" s="66"/>
      <c r="H140" s="66"/>
      <c r="I140" s="66"/>
      <c r="J140" s="69"/>
      <c r="K140" s="69"/>
      <c r="L140" s="69"/>
      <c r="M140" s="69"/>
      <c r="N140" s="66"/>
    </row>
    <row r="141" spans="2:14" x14ac:dyDescent="0.25">
      <c r="B141" s="66"/>
      <c r="C141" s="66"/>
      <c r="D141" s="66"/>
      <c r="E141" s="66"/>
      <c r="F141" s="66"/>
      <c r="G141" s="66"/>
      <c r="H141" s="66"/>
      <c r="I141" s="66"/>
      <c r="J141" s="69"/>
      <c r="K141" s="69"/>
      <c r="L141" s="69"/>
      <c r="M141" s="69"/>
      <c r="N141" s="66"/>
    </row>
    <row r="142" spans="2:14" x14ac:dyDescent="0.25">
      <c r="B142" s="66"/>
      <c r="C142" s="66"/>
      <c r="D142" s="66"/>
      <c r="E142" s="66"/>
      <c r="F142" s="66"/>
      <c r="G142" s="66"/>
      <c r="H142" s="66"/>
      <c r="I142" s="66"/>
      <c r="J142" s="69"/>
      <c r="K142" s="69"/>
      <c r="L142" s="69"/>
      <c r="M142" s="69"/>
      <c r="N142" s="66"/>
    </row>
    <row r="143" spans="2:14" x14ac:dyDescent="0.25">
      <c r="B143" s="66"/>
      <c r="C143" s="66"/>
      <c r="D143" s="66"/>
      <c r="E143" s="66"/>
      <c r="F143" s="66"/>
      <c r="G143" s="66"/>
      <c r="H143" s="66"/>
      <c r="I143" s="66"/>
      <c r="J143" s="69"/>
      <c r="K143" s="69"/>
      <c r="L143" s="69"/>
      <c r="M143" s="69"/>
      <c r="N143" s="66"/>
    </row>
    <row r="144" spans="2:14" x14ac:dyDescent="0.25">
      <c r="B144" s="66"/>
      <c r="C144" s="66"/>
      <c r="D144" s="66"/>
      <c r="E144" s="66"/>
      <c r="F144" s="66"/>
      <c r="G144" s="66"/>
      <c r="H144" s="66"/>
      <c r="I144" s="66"/>
      <c r="J144" s="69"/>
      <c r="K144" s="69"/>
      <c r="L144" s="69"/>
      <c r="M144" s="69"/>
      <c r="N144" s="66"/>
    </row>
    <row r="145" spans="2:14" x14ac:dyDescent="0.25">
      <c r="B145" s="66"/>
      <c r="C145" s="66"/>
      <c r="D145" s="66"/>
      <c r="E145" s="66"/>
      <c r="F145" s="66"/>
      <c r="G145" s="66"/>
      <c r="H145" s="66"/>
      <c r="I145" s="66"/>
      <c r="J145" s="69"/>
      <c r="K145" s="69"/>
      <c r="L145" s="69"/>
      <c r="M145" s="69"/>
      <c r="N145" s="66"/>
    </row>
    <row r="146" spans="2:14" x14ac:dyDescent="0.25">
      <c r="B146" s="66"/>
      <c r="C146" s="66"/>
      <c r="D146" s="66"/>
      <c r="E146" s="66"/>
      <c r="F146" s="66"/>
      <c r="G146" s="66"/>
      <c r="H146" s="66"/>
      <c r="I146" s="66"/>
      <c r="J146" s="69"/>
      <c r="K146" s="69"/>
      <c r="L146" s="69"/>
      <c r="M146" s="69"/>
      <c r="N146" s="66"/>
    </row>
    <row r="147" spans="2:14" x14ac:dyDescent="0.25">
      <c r="B147" s="66"/>
      <c r="C147" s="66"/>
      <c r="D147" s="66"/>
      <c r="E147" s="66"/>
      <c r="F147" s="66"/>
      <c r="G147" s="66"/>
      <c r="H147" s="66"/>
      <c r="I147" s="66"/>
      <c r="J147" s="69"/>
      <c r="K147" s="69"/>
      <c r="L147" s="69"/>
      <c r="M147" s="69"/>
      <c r="N147" s="66"/>
    </row>
    <row r="148" spans="2:14" x14ac:dyDescent="0.25">
      <c r="B148" s="66"/>
      <c r="C148" s="66"/>
      <c r="D148" s="66"/>
      <c r="E148" s="66"/>
      <c r="F148" s="66"/>
      <c r="G148" s="66"/>
      <c r="H148" s="66"/>
      <c r="I148" s="66"/>
      <c r="J148" s="69"/>
      <c r="K148" s="69"/>
      <c r="L148" s="69"/>
      <c r="M148" s="69"/>
      <c r="N148" s="66"/>
    </row>
    <row r="149" spans="2:14" x14ac:dyDescent="0.25">
      <c r="B149" s="66"/>
      <c r="C149" s="66"/>
      <c r="D149" s="66"/>
      <c r="E149" s="66"/>
      <c r="F149" s="66"/>
      <c r="G149" s="66"/>
      <c r="H149" s="66"/>
      <c r="I149" s="66"/>
      <c r="J149" s="69"/>
      <c r="K149" s="69"/>
      <c r="L149" s="69"/>
      <c r="M149" s="69"/>
      <c r="N149" s="66"/>
    </row>
    <row r="150" spans="2:14" x14ac:dyDescent="0.25">
      <c r="B150" s="66"/>
      <c r="C150" s="66"/>
      <c r="D150" s="66"/>
      <c r="E150" s="66"/>
      <c r="F150" s="66"/>
      <c r="G150" s="66"/>
      <c r="H150" s="66"/>
      <c r="I150" s="66"/>
      <c r="J150" s="69"/>
      <c r="K150" s="69"/>
      <c r="L150" s="69"/>
      <c r="M150" s="69"/>
      <c r="N150" s="66"/>
    </row>
    <row r="151" spans="2:14" x14ac:dyDescent="0.25">
      <c r="B151" s="66"/>
      <c r="C151" s="66"/>
      <c r="D151" s="66"/>
      <c r="E151" s="66"/>
      <c r="F151" s="66"/>
      <c r="G151" s="66"/>
      <c r="H151" s="66"/>
      <c r="I151" s="66"/>
      <c r="J151" s="69"/>
      <c r="K151" s="69"/>
      <c r="L151" s="69"/>
      <c r="M151" s="69"/>
      <c r="N151" s="66"/>
    </row>
    <row r="152" spans="2:14" x14ac:dyDescent="0.25">
      <c r="B152" s="66"/>
      <c r="C152" s="66"/>
      <c r="D152" s="66"/>
      <c r="E152" s="66"/>
      <c r="F152" s="66"/>
      <c r="G152" s="66"/>
      <c r="H152" s="66"/>
      <c r="I152" s="66"/>
      <c r="J152" s="69"/>
      <c r="K152" s="69"/>
      <c r="L152" s="69"/>
      <c r="M152" s="69"/>
      <c r="N152" s="66"/>
    </row>
    <row r="153" spans="2:14" x14ac:dyDescent="0.25">
      <c r="B153" s="66"/>
      <c r="C153" s="66"/>
      <c r="D153" s="66"/>
      <c r="E153" s="66"/>
      <c r="F153" s="66"/>
      <c r="G153" s="66"/>
      <c r="H153" s="66"/>
      <c r="I153" s="66"/>
      <c r="J153" s="69"/>
      <c r="K153" s="69"/>
      <c r="L153" s="69"/>
      <c r="M153" s="69"/>
      <c r="N153" s="66"/>
    </row>
    <row r="154" spans="2:14" x14ac:dyDescent="0.25">
      <c r="B154" s="66"/>
      <c r="C154" s="66"/>
      <c r="D154" s="66"/>
      <c r="E154" s="66"/>
      <c r="F154" s="66"/>
      <c r="G154" s="66"/>
      <c r="H154" s="66"/>
      <c r="I154" s="66"/>
      <c r="J154" s="69"/>
      <c r="K154" s="69"/>
      <c r="L154" s="69"/>
      <c r="M154" s="69"/>
      <c r="N154" s="66"/>
    </row>
    <row r="155" spans="2:14" x14ac:dyDescent="0.25">
      <c r="B155" s="66"/>
      <c r="C155" s="66"/>
      <c r="D155" s="66"/>
      <c r="E155" s="66"/>
      <c r="F155" s="66"/>
      <c r="G155" s="66"/>
      <c r="H155" s="66"/>
      <c r="I155" s="66"/>
      <c r="J155" s="69"/>
      <c r="K155" s="69"/>
      <c r="L155" s="69"/>
      <c r="M155" s="69"/>
      <c r="N155" s="66"/>
    </row>
    <row r="156" spans="2:14" x14ac:dyDescent="0.25">
      <c r="B156" s="66"/>
      <c r="C156" s="66"/>
      <c r="D156" s="66"/>
      <c r="E156" s="66"/>
      <c r="F156" s="66"/>
      <c r="G156" s="66"/>
      <c r="H156" s="66"/>
      <c r="I156" s="66"/>
      <c r="J156" s="69"/>
      <c r="K156" s="69"/>
      <c r="L156" s="69"/>
      <c r="M156" s="69"/>
      <c r="N156" s="66"/>
    </row>
    <row r="157" spans="2:14" x14ac:dyDescent="0.25">
      <c r="B157" s="66"/>
      <c r="C157" s="66"/>
      <c r="D157" s="66"/>
      <c r="E157" s="66"/>
      <c r="F157" s="66"/>
      <c r="G157" s="66"/>
      <c r="H157" s="66"/>
      <c r="I157" s="66"/>
      <c r="J157" s="69"/>
      <c r="K157" s="69"/>
      <c r="L157" s="69"/>
      <c r="M157" s="69"/>
      <c r="N157" s="66"/>
    </row>
    <row r="158" spans="2:14" x14ac:dyDescent="0.25">
      <c r="B158" s="66"/>
      <c r="C158" s="66"/>
      <c r="D158" s="66"/>
      <c r="E158" s="66"/>
      <c r="F158" s="66"/>
      <c r="G158" s="66"/>
      <c r="H158" s="66"/>
      <c r="I158" s="66"/>
      <c r="J158" s="69"/>
      <c r="K158" s="69"/>
      <c r="L158" s="69"/>
      <c r="M158" s="69"/>
      <c r="N158" s="66"/>
    </row>
    <row r="159" spans="2:14" x14ac:dyDescent="0.25">
      <c r="B159" s="66"/>
      <c r="C159" s="66"/>
      <c r="D159" s="66"/>
      <c r="E159" s="66"/>
      <c r="F159" s="66"/>
      <c r="G159" s="66"/>
      <c r="H159" s="66"/>
      <c r="I159" s="66"/>
      <c r="J159" s="69"/>
      <c r="K159" s="69"/>
      <c r="L159" s="69"/>
      <c r="M159" s="69"/>
      <c r="N159" s="66"/>
    </row>
    <row r="160" spans="2:14" x14ac:dyDescent="0.25">
      <c r="B160" s="66"/>
      <c r="C160" s="66"/>
      <c r="D160" s="66"/>
      <c r="E160" s="66"/>
      <c r="F160" s="66"/>
      <c r="G160" s="66"/>
      <c r="H160" s="66"/>
      <c r="I160" s="66"/>
      <c r="J160" s="69"/>
      <c r="K160" s="69"/>
      <c r="L160" s="69"/>
      <c r="M160" s="69"/>
      <c r="N160" s="66"/>
    </row>
    <row r="161" spans="2:14" x14ac:dyDescent="0.25">
      <c r="B161" s="66"/>
      <c r="C161" s="66"/>
      <c r="D161" s="66"/>
      <c r="E161" s="66"/>
      <c r="F161" s="66"/>
      <c r="G161" s="66"/>
      <c r="H161" s="66"/>
      <c r="I161" s="66"/>
      <c r="J161" s="69"/>
      <c r="K161" s="69"/>
      <c r="L161" s="69"/>
      <c r="M161" s="69"/>
      <c r="N161" s="66"/>
    </row>
    <row r="162" spans="2:14" x14ac:dyDescent="0.25">
      <c r="B162" s="66"/>
      <c r="C162" s="66"/>
      <c r="D162" s="66"/>
      <c r="E162" s="66"/>
      <c r="F162" s="66"/>
      <c r="G162" s="66"/>
      <c r="H162" s="66"/>
      <c r="I162" s="66"/>
      <c r="J162" s="69"/>
      <c r="K162" s="69"/>
      <c r="L162" s="69"/>
      <c r="M162" s="69"/>
      <c r="N162" s="66"/>
    </row>
    <row r="163" spans="2:14" x14ac:dyDescent="0.25">
      <c r="J163" s="70"/>
      <c r="K163" s="29"/>
      <c r="L163" s="29"/>
      <c r="M163" s="29"/>
    </row>
    <row r="164" spans="2:14" x14ac:dyDescent="0.25">
      <c r="J164" s="70"/>
      <c r="K164" s="29"/>
      <c r="L164" s="29"/>
      <c r="M164" s="2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E506-7832-4003-A06F-B0B3F2DEB2A2}">
  <dimension ref="A1:N38"/>
  <sheetViews>
    <sheetView tabSelected="1" topLeftCell="A15" zoomScaleNormal="100" workbookViewId="0">
      <selection activeCell="C39" sqref="C39"/>
    </sheetView>
  </sheetViews>
  <sheetFormatPr defaultRowHeight="15" x14ac:dyDescent="0.25"/>
  <cols>
    <col min="1" max="1" width="10" customWidth="1"/>
    <col min="5" max="5" width="15.42578125" customWidth="1"/>
    <col min="6" max="6" width="16.85546875" customWidth="1"/>
    <col min="7" max="7" width="12.7109375" customWidth="1"/>
    <col min="8" max="8" width="22.85546875" bestFit="1" customWidth="1"/>
    <col min="9" max="9" width="18.5703125" customWidth="1"/>
    <col min="10" max="10" width="22" bestFit="1" customWidth="1"/>
    <col min="11" max="11" width="20.28515625" customWidth="1"/>
    <col min="12" max="12" width="23.42578125" customWidth="1"/>
    <col min="13" max="13" width="15" customWidth="1"/>
    <col min="14" max="14" width="31.140625" customWidth="1"/>
  </cols>
  <sheetData>
    <row r="1" spans="1:14" ht="15.75" x14ac:dyDescent="0.25">
      <c r="A1" s="16" t="s">
        <v>292</v>
      </c>
      <c r="B1" s="16" t="s">
        <v>3</v>
      </c>
      <c r="C1" s="16" t="s">
        <v>293</v>
      </c>
      <c r="D1" s="16" t="s">
        <v>294</v>
      </c>
      <c r="E1" s="16" t="s">
        <v>320</v>
      </c>
      <c r="F1" s="16" t="s">
        <v>348</v>
      </c>
      <c r="G1" s="16" t="s">
        <v>295</v>
      </c>
      <c r="H1" s="16" t="s">
        <v>296</v>
      </c>
      <c r="I1" s="16" t="s">
        <v>318</v>
      </c>
      <c r="J1" s="16" t="s">
        <v>321</v>
      </c>
      <c r="K1" s="28" t="s">
        <v>347</v>
      </c>
      <c r="L1" s="28" t="s">
        <v>339</v>
      </c>
      <c r="M1" s="28" t="s">
        <v>340</v>
      </c>
      <c r="N1" s="28" t="s">
        <v>287</v>
      </c>
    </row>
    <row r="2" spans="1:14" ht="63.75" customHeight="1" x14ac:dyDescent="0.25">
      <c r="A2" s="17">
        <v>46129</v>
      </c>
      <c r="B2" s="18" t="s">
        <v>297</v>
      </c>
      <c r="C2" s="18" t="s">
        <v>298</v>
      </c>
      <c r="D2" s="22" t="s">
        <v>299</v>
      </c>
      <c r="E2" s="36">
        <v>112.68</v>
      </c>
      <c r="F2" s="37">
        <v>120.94</v>
      </c>
      <c r="G2" s="19">
        <v>0.11</v>
      </c>
      <c r="H2" s="18" t="s">
        <v>300</v>
      </c>
      <c r="I2" s="18" t="s">
        <v>319</v>
      </c>
      <c r="J2" s="21" t="s">
        <v>322</v>
      </c>
      <c r="K2" s="20">
        <v>362.82</v>
      </c>
      <c r="L2" s="21" t="s">
        <v>343</v>
      </c>
      <c r="M2" s="32">
        <v>1.7100000000000001E-2</v>
      </c>
      <c r="N2" s="21" t="s">
        <v>365</v>
      </c>
    </row>
    <row r="3" spans="1:14" ht="60" x14ac:dyDescent="0.25">
      <c r="A3" s="17">
        <v>46129</v>
      </c>
      <c r="B3" s="18" t="s">
        <v>301</v>
      </c>
      <c r="C3" s="18" t="s">
        <v>298</v>
      </c>
      <c r="D3" s="22" t="s">
        <v>299</v>
      </c>
      <c r="E3" s="36">
        <v>453.55</v>
      </c>
      <c r="F3" s="37">
        <v>483.14</v>
      </c>
      <c r="G3" s="31">
        <v>0.15</v>
      </c>
      <c r="H3" s="18" t="s">
        <v>309</v>
      </c>
      <c r="I3" s="18" t="s">
        <v>319</v>
      </c>
      <c r="J3" s="21" t="s">
        <v>322</v>
      </c>
      <c r="K3" s="20">
        <v>483.14</v>
      </c>
      <c r="L3" s="21" t="s">
        <v>344</v>
      </c>
      <c r="M3" s="33">
        <v>2.2200000000000001E-2</v>
      </c>
      <c r="N3" s="21" t="s">
        <v>445</v>
      </c>
    </row>
    <row r="4" spans="1:14" ht="60" x14ac:dyDescent="0.25">
      <c r="A4" s="17">
        <v>46129</v>
      </c>
      <c r="B4" s="18" t="s">
        <v>302</v>
      </c>
      <c r="C4" s="18" t="s">
        <v>298</v>
      </c>
      <c r="D4" s="22" t="s">
        <v>299</v>
      </c>
      <c r="E4" s="36">
        <v>97.35</v>
      </c>
      <c r="F4" s="37">
        <v>96.76</v>
      </c>
      <c r="G4" s="19">
        <v>0.1</v>
      </c>
      <c r="H4" s="18" t="s">
        <v>310</v>
      </c>
      <c r="I4" s="18" t="s">
        <v>319</v>
      </c>
      <c r="J4" s="21" t="s">
        <v>322</v>
      </c>
      <c r="K4" s="20">
        <v>290.27999999999997</v>
      </c>
      <c r="L4" s="21" t="s">
        <v>343</v>
      </c>
      <c r="M4" s="32">
        <v>1.4200000000000001E-2</v>
      </c>
      <c r="N4" s="21" t="s">
        <v>446</v>
      </c>
    </row>
    <row r="5" spans="1:14" ht="60" x14ac:dyDescent="0.25">
      <c r="A5" s="17">
        <v>46129</v>
      </c>
      <c r="B5" s="18" t="s">
        <v>303</v>
      </c>
      <c r="C5" s="18" t="s">
        <v>298</v>
      </c>
      <c r="D5" s="22" t="s">
        <v>299</v>
      </c>
      <c r="E5" s="36">
        <v>338.45</v>
      </c>
      <c r="F5" s="37">
        <v>336.61</v>
      </c>
      <c r="G5" s="19">
        <v>0.113</v>
      </c>
      <c r="H5" s="18" t="s">
        <v>311</v>
      </c>
      <c r="I5" s="18" t="s">
        <v>319</v>
      </c>
      <c r="J5" s="21" t="s">
        <v>322</v>
      </c>
      <c r="K5" s="20">
        <v>336.61</v>
      </c>
      <c r="L5" s="21" t="s">
        <v>344</v>
      </c>
      <c r="M5" s="32">
        <v>1.6799999999999999E-2</v>
      </c>
      <c r="N5" s="21" t="s">
        <v>447</v>
      </c>
    </row>
    <row r="6" spans="1:14" ht="60" x14ac:dyDescent="0.25">
      <c r="A6" s="17">
        <v>46129</v>
      </c>
      <c r="B6" s="18" t="s">
        <v>304</v>
      </c>
      <c r="C6" s="18" t="s">
        <v>298</v>
      </c>
      <c r="D6" s="22" t="s">
        <v>299</v>
      </c>
      <c r="E6" s="36">
        <v>372.52</v>
      </c>
      <c r="F6" s="37">
        <v>389.3</v>
      </c>
      <c r="G6" s="19">
        <v>0.124</v>
      </c>
      <c r="H6" s="18" t="s">
        <v>312</v>
      </c>
      <c r="I6" s="18" t="s">
        <v>319</v>
      </c>
      <c r="J6" s="21" t="s">
        <v>322</v>
      </c>
      <c r="K6" s="20">
        <v>389.3</v>
      </c>
      <c r="L6" s="21" t="s">
        <v>344</v>
      </c>
      <c r="M6" s="32">
        <v>1.8700000000000001E-2</v>
      </c>
      <c r="N6" s="21" t="s">
        <v>366</v>
      </c>
    </row>
    <row r="7" spans="1:14" ht="60" x14ac:dyDescent="0.25">
      <c r="A7" s="17">
        <v>46129</v>
      </c>
      <c r="B7" s="18" t="s">
        <v>305</v>
      </c>
      <c r="C7" s="18" t="s">
        <v>298</v>
      </c>
      <c r="D7" s="22" t="s">
        <v>299</v>
      </c>
      <c r="E7" s="36">
        <v>267.49</v>
      </c>
      <c r="F7" s="37">
        <v>262.67</v>
      </c>
      <c r="G7" s="19">
        <v>8.9200000000000002E-2</v>
      </c>
      <c r="H7" s="18" t="s">
        <v>313</v>
      </c>
      <c r="I7" s="18" t="s">
        <v>319</v>
      </c>
      <c r="J7" s="21" t="s">
        <v>322</v>
      </c>
      <c r="K7" s="20">
        <v>262.67</v>
      </c>
      <c r="L7" s="21" t="s">
        <v>344</v>
      </c>
      <c r="M7" s="32">
        <v>1.3299999999999999E-2</v>
      </c>
      <c r="N7" s="21" t="s">
        <v>448</v>
      </c>
    </row>
    <row r="8" spans="1:14" ht="60" x14ac:dyDescent="0.25">
      <c r="A8" s="24">
        <v>46129</v>
      </c>
      <c r="B8" s="22" t="s">
        <v>306</v>
      </c>
      <c r="C8" s="22" t="s">
        <v>298</v>
      </c>
      <c r="D8" s="22" t="s">
        <v>299</v>
      </c>
      <c r="E8" s="36">
        <v>139.74</v>
      </c>
      <c r="F8" s="37">
        <v>140.15</v>
      </c>
      <c r="G8" s="26">
        <v>9.3200000000000005E-2</v>
      </c>
      <c r="H8" s="22" t="s">
        <v>314</v>
      </c>
      <c r="I8" s="22" t="s">
        <v>319</v>
      </c>
      <c r="J8" s="27" t="s">
        <v>323</v>
      </c>
      <c r="K8" s="25">
        <v>280.3</v>
      </c>
      <c r="L8" s="23" t="s">
        <v>345</v>
      </c>
      <c r="M8" s="34">
        <v>1.4E-2</v>
      </c>
      <c r="N8" s="21" t="s">
        <v>367</v>
      </c>
    </row>
    <row r="9" spans="1:14" ht="60" x14ac:dyDescent="0.25">
      <c r="A9" s="24">
        <v>46129</v>
      </c>
      <c r="B9" s="22" t="s">
        <v>307</v>
      </c>
      <c r="C9" s="22" t="s">
        <v>298</v>
      </c>
      <c r="D9" s="22" t="s">
        <v>299</v>
      </c>
      <c r="E9" s="36">
        <v>119.94</v>
      </c>
      <c r="F9" s="37">
        <v>121</v>
      </c>
      <c r="G9" s="26">
        <v>0.11</v>
      </c>
      <c r="H9" s="22" t="s">
        <v>315</v>
      </c>
      <c r="I9" s="22" t="s">
        <v>319</v>
      </c>
      <c r="J9" s="23" t="s">
        <v>341</v>
      </c>
      <c r="K9" s="25">
        <v>363</v>
      </c>
      <c r="L9" s="23" t="s">
        <v>343</v>
      </c>
      <c r="M9" s="34">
        <v>1.9900000000000001E-2</v>
      </c>
      <c r="N9" s="21" t="s">
        <v>368</v>
      </c>
    </row>
    <row r="10" spans="1:14" ht="60" x14ac:dyDescent="0.25">
      <c r="A10" s="24">
        <v>46129</v>
      </c>
      <c r="B10" s="22" t="s">
        <v>252</v>
      </c>
      <c r="C10" s="22" t="s">
        <v>298</v>
      </c>
      <c r="D10" s="22" t="s">
        <v>299</v>
      </c>
      <c r="E10" s="36">
        <v>422.53</v>
      </c>
      <c r="F10" s="37">
        <v>430.98</v>
      </c>
      <c r="G10" s="30">
        <v>0.14000000000000001</v>
      </c>
      <c r="H10" s="22" t="s">
        <v>316</v>
      </c>
      <c r="I10" s="22" t="s">
        <v>319</v>
      </c>
      <c r="J10" s="23" t="s">
        <v>342</v>
      </c>
      <c r="K10" s="25">
        <v>430.98</v>
      </c>
      <c r="L10" s="23" t="s">
        <v>344</v>
      </c>
      <c r="M10" s="35">
        <v>2.1100000000000001E-2</v>
      </c>
      <c r="N10" s="21" t="s">
        <v>449</v>
      </c>
    </row>
    <row r="11" spans="1:14" ht="60" x14ac:dyDescent="0.25">
      <c r="A11" s="17">
        <v>46129</v>
      </c>
      <c r="B11" s="18" t="s">
        <v>308</v>
      </c>
      <c r="C11" s="18" t="s">
        <v>298</v>
      </c>
      <c r="D11" s="22" t="s">
        <v>299</v>
      </c>
      <c r="E11" s="36">
        <v>76.78</v>
      </c>
      <c r="F11" s="37">
        <v>75.64</v>
      </c>
      <c r="G11" s="19">
        <v>0.1</v>
      </c>
      <c r="H11" s="18" t="s">
        <v>317</v>
      </c>
      <c r="I11" s="18" t="s">
        <v>319</v>
      </c>
      <c r="J11" s="21" t="s">
        <v>322</v>
      </c>
      <c r="K11" s="20">
        <v>302.56</v>
      </c>
      <c r="L11" s="21" t="s">
        <v>346</v>
      </c>
      <c r="M11" s="32">
        <v>1.54E-2</v>
      </c>
      <c r="N11" s="21" t="s">
        <v>450</v>
      </c>
    </row>
    <row r="33" spans="1:3" ht="45" x14ac:dyDescent="0.25">
      <c r="A33" s="21" t="s">
        <v>472</v>
      </c>
    </row>
    <row r="34" spans="1:3" x14ac:dyDescent="0.25">
      <c r="A34" t="s">
        <v>252</v>
      </c>
      <c r="B34" t="s">
        <v>253</v>
      </c>
      <c r="C34" s="77">
        <v>424.88</v>
      </c>
    </row>
    <row r="35" spans="1:3" x14ac:dyDescent="0.25">
      <c r="A35" t="s">
        <v>28</v>
      </c>
      <c r="B35" t="s">
        <v>282</v>
      </c>
      <c r="C35" s="77">
        <v>165.14</v>
      </c>
    </row>
    <row r="36" spans="1:3" x14ac:dyDescent="0.25">
      <c r="A36" t="s">
        <v>370</v>
      </c>
      <c r="B36" t="s">
        <v>473</v>
      </c>
      <c r="C36" s="77">
        <v>391.91</v>
      </c>
    </row>
    <row r="37" spans="1:3" x14ac:dyDescent="0.25">
      <c r="A37" t="s">
        <v>402</v>
      </c>
      <c r="B37" t="s">
        <v>474</v>
      </c>
      <c r="C37" s="77">
        <v>35.04</v>
      </c>
    </row>
    <row r="38" spans="1:3" x14ac:dyDescent="0.25">
      <c r="A38" t="s">
        <v>119</v>
      </c>
      <c r="B38" t="s">
        <v>428</v>
      </c>
      <c r="C38" s="77">
        <v>104.75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 Data</vt:lpstr>
      <vt:lpstr>High Priority List</vt:lpstr>
      <vt:lpstr>QVM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Piatkowski</cp:lastModifiedBy>
  <dcterms:created xsi:type="dcterms:W3CDTF">2026-04-12T14:04:56Z</dcterms:created>
  <dcterms:modified xsi:type="dcterms:W3CDTF">2026-04-29T23:50:54Z</dcterms:modified>
</cp:coreProperties>
</file>