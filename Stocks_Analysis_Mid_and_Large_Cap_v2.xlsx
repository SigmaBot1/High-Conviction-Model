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5600" tabRatio="600" firstSheet="0" activeTab="2" autoFilterDateGrouping="1"/>
  </bookViews>
  <sheets>
    <sheet xmlns:r="http://schemas.openxmlformats.org/officeDocument/2006/relationships" name="Stocks Data" sheetId="1" state="visible" r:id="rId1"/>
    <sheet xmlns:r="http://schemas.openxmlformats.org/officeDocument/2006/relationships" name="High Priority List" sheetId="2" state="visible" r:id="rId2"/>
    <sheet xmlns:r="http://schemas.openxmlformats.org/officeDocument/2006/relationships" name="QVM Portfolio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;[Red]\-&quot;$&quot;#,##0.00"/>
    <numFmt numFmtId="165" formatCode="$#,##0.00"/>
  </numFmts>
  <fonts count="2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1"/>
    </font>
    <font>
      <name val="Calibri"/>
      <family val="2"/>
      <color theme="1"/>
      <sz val="14"/>
      <scheme val="minor"/>
    </font>
    <font>
      <name val="Segoe UI"/>
      <family val="2"/>
      <sz val="10"/>
    </font>
    <font>
      <name val="Calibri"/>
      <family val="2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color theme="8" tint="-0.249977111117893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b val="1"/>
      <color rgb="FF0070C0"/>
      <sz val="10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2C3E50"/>
      <sz val="18"/>
    </font>
    <font>
      <name val="Segoe UI"/>
      <i val="1"/>
      <color rgb="007F8C8D"/>
      <sz val="12"/>
    </font>
    <font>
      <b val="1"/>
    </font>
  </fonts>
  <fills count="20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E5E87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left" vertical="top"/>
    </xf>
    <xf numFmtId="0" fontId="0" fillId="7" borderId="0" applyAlignment="1" pivotButton="0" quotePrefix="0" xfId="0">
      <alignment horizontal="center" vertical="top"/>
    </xf>
    <xf numFmtId="0" fontId="4" fillId="9" borderId="0" applyAlignment="1" pivotButton="0" quotePrefix="0" xfId="0">
      <alignment vertical="center"/>
    </xf>
    <xf numFmtId="0" fontId="0" fillId="10" borderId="0" applyAlignment="1" pivotButton="0" quotePrefix="0" xfId="0">
      <alignment horizontal="center" vertical="top"/>
    </xf>
    <xf numFmtId="0" fontId="0" fillId="11" borderId="0" applyAlignment="1" pivotButton="0" quotePrefix="0" xfId="0">
      <alignment horizontal="center" vertical="top"/>
    </xf>
    <xf numFmtId="164" fontId="0" fillId="11" borderId="0" applyAlignment="1" pivotButton="0" quotePrefix="0" xfId="0">
      <alignment horizontal="center" vertical="top"/>
    </xf>
    <xf numFmtId="0" fontId="6" fillId="11" borderId="0" applyAlignment="1" pivotButton="0" quotePrefix="0" xfId="0">
      <alignment horizontal="center" vertical="top" wrapText="1"/>
    </xf>
    <xf numFmtId="0" fontId="0" fillId="11" borderId="0" applyAlignment="1" pivotButton="0" quotePrefix="0" xfId="0">
      <alignment horizontal="center" vertical="top" wrapText="1"/>
    </xf>
    <xf numFmtId="0" fontId="0" fillId="8" borderId="0" pivotButton="0" quotePrefix="0" xfId="0"/>
    <xf numFmtId="0" fontId="0" fillId="8" borderId="0" applyAlignment="1" pivotButton="0" quotePrefix="0" xfId="0">
      <alignment horizontal="center" vertical="top"/>
    </xf>
    <xf numFmtId="164" fontId="0" fillId="7" borderId="0" applyAlignment="1" pivotButton="0" quotePrefix="0" xfId="0">
      <alignment horizontal="center" vertical="top"/>
    </xf>
    <xf numFmtId="0" fontId="6" fillId="7" borderId="0" applyAlignment="1" pivotButton="0" quotePrefix="0" xfId="0">
      <alignment vertical="top"/>
    </xf>
    <xf numFmtId="0" fontId="0" fillId="7" borderId="0" applyAlignment="1" pivotButton="0" quotePrefix="0" xfId="0">
      <alignment horizontal="center" vertical="top" wrapText="1"/>
    </xf>
    <xf numFmtId="0" fontId="6" fillId="7" borderId="0" applyAlignment="1" pivotButton="0" quotePrefix="0" xfId="0">
      <alignment horizontal="center" vertical="top" wrapText="1"/>
    </xf>
    <xf numFmtId="0" fontId="0" fillId="13" borderId="0" applyAlignment="1" pivotButton="0" quotePrefix="0" xfId="0">
      <alignment horizontal="center" vertical="top"/>
    </xf>
    <xf numFmtId="164" fontId="0" fillId="13" borderId="0" applyAlignment="1" pivotButton="0" quotePrefix="0" xfId="0">
      <alignment horizontal="center" vertical="top"/>
    </xf>
    <xf numFmtId="0" fontId="6" fillId="13" borderId="0" applyAlignment="1" pivotButton="0" quotePrefix="0" xfId="0">
      <alignment horizontal="center" vertical="top" wrapText="1"/>
    </xf>
    <xf numFmtId="0" fontId="0" fillId="14" borderId="0" applyAlignment="1" pivotButton="0" quotePrefix="0" xfId="0">
      <alignment horizontal="center" vertical="top"/>
    </xf>
    <xf numFmtId="164" fontId="0" fillId="14" borderId="0" applyAlignment="1" pivotButton="0" quotePrefix="0" xfId="0">
      <alignment horizontal="center" vertical="top"/>
    </xf>
    <xf numFmtId="0" fontId="0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5" fillId="14" borderId="0" applyAlignment="1" pivotButton="0" quotePrefix="0" xfId="0">
      <alignment horizontal="center" vertical="top"/>
    </xf>
    <xf numFmtId="0" fontId="0" fillId="11" borderId="0" pivotButton="0" quotePrefix="0" xfId="0"/>
    <xf numFmtId="0" fontId="8" fillId="12" borderId="0" applyAlignment="1" pivotButton="0" quotePrefix="0" xfId="0">
      <alignment horizontal="center"/>
    </xf>
    <xf numFmtId="0" fontId="8" fillId="12" borderId="0" applyAlignment="1" pivotButton="0" quotePrefix="0" xfId="0">
      <alignment horizontal="center" vertical="top"/>
    </xf>
    <xf numFmtId="0" fontId="0" fillId="13" borderId="0" applyAlignment="1" pivotButton="0" quotePrefix="0" xfId="0">
      <alignment horizontal="center" vertical="top" wrapText="1"/>
    </xf>
    <xf numFmtId="0" fontId="10" fillId="11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top"/>
    </xf>
    <xf numFmtId="16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9" fontId="0" fillId="0" borderId="0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  <xf numFmtId="0" fontId="0" fillId="15" borderId="0" applyAlignment="1" pivotButton="0" quotePrefix="0" xfId="0">
      <alignment horizontal="center" vertical="top"/>
    </xf>
    <xf numFmtId="0" fontId="0" fillId="15" borderId="0" applyAlignment="1" pivotButton="0" quotePrefix="0" xfId="0">
      <alignment horizontal="center" vertical="top" wrapText="1"/>
    </xf>
    <xf numFmtId="16" fontId="0" fillId="15" borderId="0" applyAlignment="1" pivotButton="0" quotePrefix="0" xfId="0">
      <alignment horizontal="center" vertical="top"/>
    </xf>
    <xf numFmtId="164" fontId="0" fillId="15" borderId="0" applyAlignment="1" pivotButton="0" quotePrefix="0" xfId="0">
      <alignment horizontal="center" vertical="top"/>
    </xf>
    <xf numFmtId="9" fontId="0" fillId="15" borderId="0" applyAlignment="1" pivotButton="0" quotePrefix="0" xfId="0">
      <alignment horizontal="center" vertical="top"/>
    </xf>
    <xf numFmtId="0" fontId="14" fillId="15" borderId="0" applyAlignment="1" pivotButton="0" quotePrefix="0" xfId="0">
      <alignment horizontal="center" vertical="top" wrapText="1"/>
    </xf>
    <xf numFmtId="0" fontId="15" fillId="7" borderId="0" applyAlignment="1" pivotButton="0" quotePrefix="0" xfId="0">
      <alignment horizontal="center" vertical="top"/>
    </xf>
    <xf numFmtId="0" fontId="11" fillId="2" borderId="0" applyAlignment="1" pivotButton="0" quotePrefix="0" xfId="0">
      <alignment horizontal="center" vertical="top" wrapText="1"/>
    </xf>
    <xf numFmtId="9" fontId="16" fillId="15" borderId="0" applyAlignment="1" pivotButton="0" quotePrefix="0" xfId="0">
      <alignment horizontal="center" vertical="top"/>
    </xf>
    <xf numFmtId="9" fontId="16" fillId="0" borderId="0" applyAlignment="1" pivotButton="0" quotePrefix="0" xfId="0">
      <alignment horizontal="center" vertical="top"/>
    </xf>
    <xf numFmtId="10" fontId="0" fillId="0" borderId="0" applyAlignment="1" pivotButton="0" quotePrefix="0" xfId="0">
      <alignment horizontal="center" vertical="top"/>
    </xf>
    <xf numFmtId="10" fontId="16" fillId="0" borderId="0" applyAlignment="1" pivotButton="0" quotePrefix="0" xfId="0">
      <alignment horizontal="center" vertical="top"/>
    </xf>
    <xf numFmtId="10" fontId="0" fillId="15" borderId="0" applyAlignment="1" pivotButton="0" quotePrefix="0" xfId="0">
      <alignment horizontal="center" vertical="top"/>
    </xf>
    <xf numFmtId="10" fontId="16" fillId="15" borderId="0" applyAlignment="1" pivotButton="0" quotePrefix="0" xfId="0">
      <alignment horizontal="center" vertical="top"/>
    </xf>
    <xf numFmtId="164" fontId="0" fillId="16" borderId="0" applyAlignment="1" pivotButton="0" quotePrefix="0" xfId="0">
      <alignment horizontal="center" vertical="top"/>
    </xf>
    <xf numFmtId="164" fontId="0" fillId="17" borderId="0" applyAlignment="1" pivotButton="0" quotePrefix="0" xfId="0">
      <alignment horizontal="center" vertical="top"/>
    </xf>
    <xf numFmtId="164" fontId="0" fillId="14" borderId="0" applyAlignment="1" pivotButton="0" quotePrefix="0" xfId="0">
      <alignment horizontal="center" vertical="top"/>
    </xf>
    <xf numFmtId="164" fontId="0" fillId="7" borderId="0" applyAlignment="1" pivotButton="0" quotePrefix="0" xfId="0">
      <alignment horizontal="center" vertical="top"/>
    </xf>
    <xf numFmtId="164" fontId="0" fillId="11" borderId="0" applyAlignment="1" pivotButton="0" quotePrefix="0" xfId="0">
      <alignment horizontal="center" vertical="top"/>
    </xf>
    <xf numFmtId="164" fontId="0" fillId="13" borderId="0" applyAlignment="1" pivotButton="0" quotePrefix="0" xfId="0">
      <alignment horizontal="center" vertical="top"/>
    </xf>
    <xf numFmtId="0" fontId="20" fillId="0" borderId="0" pivotButton="0" quotePrefix="0" xfId="0"/>
    <xf numFmtId="0" fontId="21" fillId="0" borderId="0" pivotButton="0" quotePrefix="0" xfId="0"/>
    <xf numFmtId="0" fontId="19" fillId="0" borderId="0" pivotButton="0" quotePrefix="0" xfId="0"/>
    <xf numFmtId="0" fontId="18" fillId="18" borderId="1" applyAlignment="1" pivotButton="0" quotePrefix="0" xfId="0">
      <alignment horizontal="center" vertical="center"/>
    </xf>
    <xf numFmtId="16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/>
    </xf>
    <xf numFmtId="165" fontId="19" fillId="16" borderId="1" applyAlignment="1" pivotButton="0" quotePrefix="0" xfId="0">
      <alignment horizontal="center" vertical="center"/>
    </xf>
    <xf numFmtId="165" fontId="19" fillId="17" borderId="1" applyAlignment="1" pivotButton="0" quotePrefix="0" xfId="0">
      <alignment horizontal="center" vertical="center"/>
    </xf>
    <xf numFmtId="10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0">
      <alignment horizontal="center" vertical="center"/>
    </xf>
    <xf numFmtId="16" fontId="19" fillId="15" borderId="1" applyAlignment="1" pivotButton="0" quotePrefix="0" xfId="0">
      <alignment horizontal="center" vertical="center"/>
    </xf>
    <xf numFmtId="10" fontId="19" fillId="15" borderId="1" applyAlignment="1" pivotButton="0" quotePrefix="0" xfId="0">
      <alignment horizontal="center" vertical="center"/>
    </xf>
    <xf numFmtId="165" fontId="19" fillId="15" borderId="1" applyAlignment="1" pivotButton="0" quotePrefix="0" xfId="0">
      <alignment horizontal="center" vertical="center"/>
    </xf>
    <xf numFmtId="0" fontId="22" fillId="19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/>
  </cellStyles>
  <dxfs count="12">
    <dxf>
      <fill>
        <patternFill>
          <fgColor indexed="64"/>
          <bgColor theme="2" tint="-0.09997863704336681"/>
        </patternFill>
      </fill>
    </dxf>
    <dxf>
      <fill>
        <patternFill>
          <fgColor indexed="64"/>
          <bgColor theme="2" tint="-0.09997863704336681"/>
        </patternFill>
      </fill>
    </dxf>
    <dxf>
      <fill>
        <patternFill>
          <fgColor indexed="64"/>
          <bgColor theme="2" tint="-0.09997863704336681"/>
        </patternFill>
      </fill>
    </dxf>
    <dxf>
      <fill>
        <patternFill>
          <fgColor indexed="64"/>
          <bgColor theme="2" tint="-0.09997863704336681"/>
        </patternFill>
      </fill>
    </dxf>
    <dxf>
      <fill>
        <patternFill>
          <fgColor indexed="64"/>
          <bgColor theme="2" tint="-0.09997863704336681"/>
        </patternFill>
      </fill>
      <alignment horizontal="left" vertical="top"/>
    </dxf>
    <dxf>
      <fill>
        <patternFill>
          <fgColor indexed="64"/>
          <bgColor theme="2" tint="-0.09997863704336681"/>
        </patternFill>
      </fill>
    </dxf>
    <dxf>
      <fill>
        <patternFill>
          <fgColor indexed="64"/>
          <bgColor theme="2" tint="-0.09997863704336681"/>
        </patternFill>
      </fill>
    </dxf>
    <dxf>
      <fill>
        <patternFill>
          <fgColor indexed="64"/>
          <bgColor theme="2" tint="-0.09997863704336681"/>
        </patternFill>
      </fill>
    </dxf>
    <dxf>
      <fill>
        <patternFill>
          <fgColor indexed="64"/>
          <bgColor theme="2" tint="-0.09997863704336681"/>
        </patternFill>
      </fill>
    </dxf>
    <dxf>
      <fill>
        <patternFill>
          <fgColor indexed="64"/>
          <bgColor theme="2" tint="-0.09997863704336681"/>
        </patternFill>
      </fill>
    </dxf>
    <dxf>
      <fill>
        <patternFill>
          <fgColor indexed="64"/>
          <bgColor theme="2" tint="-0.09997863704336681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QVM Portfolio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'QVM Portfolio'!$E$1</f>
              <strCache>
                <ptCount val="1"/>
                <pt idx="0">
                  <v>Entry Price</v>
                </pt>
              </strCache>
            </strRef>
          </tx>
          <spPr>
            <a:solidFill xmlns:a="http://schemas.openxmlformats.org/drawingml/2006/main">
              <a:schemeClr val="accent1">
                <a:tint val="6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'QVM Portfolio'!$B$2:$B$11</f>
              <strCache>
                <ptCount val="10"/>
                <pt idx="0">
                  <v>CF</v>
                </pt>
                <pt idx="1">
                  <v>MU</v>
                </pt>
                <pt idx="2">
                  <v>INCY</v>
                </pt>
                <pt idx="3">
                  <v>GOOGL</v>
                </pt>
                <pt idx="4">
                  <v>WDC</v>
                </pt>
                <pt idx="5">
                  <v>LRCX</v>
                </pt>
                <pt idx="6">
                  <v>PTC</v>
                </pt>
                <pt idx="7">
                  <v>ARES</v>
                </pt>
                <pt idx="8">
                  <v>MSFT</v>
                </pt>
                <pt idx="9">
                  <v>MNST</v>
                </pt>
              </strCache>
            </strRef>
          </cat>
          <val>
            <numRef>
              <f>'QVM Portfolio'!$E$2:$E$11</f>
              <numCache>
                <formatCode>"$"#,##0.00_);[Red]\("$"#,##0.00\)</formatCode>
                <ptCount val="10"/>
                <pt idx="0">
                  <v>112.68</v>
                </pt>
                <pt idx="1">
                  <v>453.55</v>
                </pt>
                <pt idx="2">
                  <v>97.34999999999999</v>
                </pt>
                <pt idx="3">
                  <v>338.45</v>
                </pt>
                <pt idx="4">
                  <v>372.52</v>
                </pt>
                <pt idx="5">
                  <v>267.49</v>
                </pt>
                <pt idx="6">
                  <v>139.74</v>
                </pt>
                <pt idx="7">
                  <v>119.94</v>
                </pt>
                <pt idx="8">
                  <v>422.53</v>
                </pt>
                <pt idx="9">
                  <v>76.78</v>
                </pt>
              </numCache>
            </numRef>
          </val>
        </ser>
        <ser>
          <idx val="1"/>
          <order val="1"/>
          <tx>
            <strRef>
              <f>'QVM Portfolio'!$F$1</f>
              <strCache>
                <ptCount val="1"/>
                <pt idx="0">
                  <v>Current Price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'QVM Portfolio'!$B$2:$B$11</f>
              <strCache>
                <ptCount val="10"/>
                <pt idx="0">
                  <v>CF</v>
                </pt>
                <pt idx="1">
                  <v>MU</v>
                </pt>
                <pt idx="2">
                  <v>INCY</v>
                </pt>
                <pt idx="3">
                  <v>GOOGL</v>
                </pt>
                <pt idx="4">
                  <v>WDC</v>
                </pt>
                <pt idx="5">
                  <v>LRCX</v>
                </pt>
                <pt idx="6">
                  <v>PTC</v>
                </pt>
                <pt idx="7">
                  <v>ARES</v>
                </pt>
                <pt idx="8">
                  <v>MSFT</v>
                </pt>
                <pt idx="9">
                  <v>MNST</v>
                </pt>
              </strCache>
            </strRef>
          </cat>
          <val>
            <numRef>
              <f>'QVM Portfolio'!$F$2:$F$11</f>
              <numCache>
                <formatCode>"$"#,##0.00_);[Red]\("$"#,##0.00\)</formatCode>
                <ptCount val="10"/>
                <pt idx="0">
                  <v>112.68</v>
                </pt>
                <pt idx="1">
                  <v>453.55</v>
                </pt>
                <pt idx="2">
                  <v>97.34999999999999</v>
                </pt>
                <pt idx="3">
                  <v>338.45</v>
                </pt>
                <pt idx="4">
                  <v>372.52</v>
                </pt>
                <pt idx="5">
                  <v>267.49</v>
                </pt>
                <pt idx="6">
                  <v>139.74</v>
                </pt>
                <pt idx="7">
                  <v>119.94</v>
                </pt>
                <pt idx="8">
                  <v>422.53</v>
                </pt>
                <pt idx="9">
                  <v>76.78</v>
                </pt>
              </numCache>
            </numRef>
          </val>
        </ser>
        <ser>
          <idx val="2"/>
          <order val="2"/>
          <tx>
            <strRef>
              <f>'QVM Portfolio'!$K$1</f>
              <strCache>
                <ptCount val="1"/>
                <pt idx="0">
                  <v>Position Value</v>
                </pt>
              </strCache>
            </strRef>
          </tx>
          <spPr>
            <a:solidFill xmlns:a="http://schemas.openxmlformats.org/drawingml/2006/main">
              <a:schemeClr val="accent1">
                <a:shade val="6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'QVM Portfolio'!$B$2:$B$11</f>
              <strCache>
                <ptCount val="10"/>
                <pt idx="0">
                  <v>CF</v>
                </pt>
                <pt idx="1">
                  <v>MU</v>
                </pt>
                <pt idx="2">
                  <v>INCY</v>
                </pt>
                <pt idx="3">
                  <v>GOOGL</v>
                </pt>
                <pt idx="4">
                  <v>WDC</v>
                </pt>
                <pt idx="5">
                  <v>LRCX</v>
                </pt>
                <pt idx="6">
                  <v>PTC</v>
                </pt>
                <pt idx="7">
                  <v>ARES</v>
                </pt>
                <pt idx="8">
                  <v>MSFT</v>
                </pt>
                <pt idx="9">
                  <v>MNST</v>
                </pt>
              </strCache>
            </strRef>
          </cat>
          <val>
            <numRef>
              <f>'QVM Portfolio'!$K$2:$K$11</f>
              <numCache>
                <formatCode>"$"#,##0.00_);[Red]\("$"#,##0.00\)</formatCode>
                <ptCount val="10"/>
                <pt idx="0">
                  <v>338.04</v>
                </pt>
                <pt idx="1">
                  <v>455.07</v>
                </pt>
                <pt idx="2">
                  <v>293.46</v>
                </pt>
                <pt idx="3">
                  <v>339.4</v>
                </pt>
                <pt idx="4">
                  <v>372.52</v>
                </pt>
                <pt idx="5">
                  <v>267.6</v>
                </pt>
                <pt idx="6">
                  <v>279.84</v>
                </pt>
                <pt idx="7">
                  <v>353.34</v>
                </pt>
                <pt idx="8">
                  <v>422.79</v>
                </pt>
                <pt idx="9">
                  <v>306.88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46579616"/>
        <axId val="1346578656"/>
      </barChart>
      <catAx>
        <axId val="1346579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78656"/>
        <crosses val="autoZero"/>
        <auto val="1"/>
        <lblAlgn val="ctr"/>
        <lblOffset val="100"/>
        <noMultiLvlLbl val="0"/>
      </catAx>
      <valAx>
        <axId val="13465786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.00_);[Red]\(&quot;$&quot;#,##0.0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796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Diversification by Industry (%)</a:t>
            </a:r>
          </a:p>
        </rich>
      </tx>
    </title>
    <plotArea>
      <pieChart>
        <varyColors val="1"/>
        <ser>
          <idx val="0"/>
          <order val="0"/>
          <tx>
            <strRef>
              <f>'QVM Portfolio'!U1</f>
            </strRef>
          </tx>
          <spPr>
            <a:ln xmlns:a="http://schemas.openxmlformats.org/drawingml/2006/main">
              <a:prstDash val="solid"/>
            </a:ln>
          </spPr>
          <cat>
            <numRef>
              <f>'QVM Portfolio'!$T$2:$T$10</f>
            </numRef>
          </cat>
          <val>
            <numRef>
              <f>'QVM Portfolio'!$U$2:$U$10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Holdings by Market Value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'QVM Portfolio'!K5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'QVM Portfolio'!$B$6:$B$16</f>
            </numRef>
          </cat>
          <val>
            <numRef>
              <f>'QVM Portfolio'!$K$6:$K$16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Exposure per Holding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'QVM Portfolio'!M5</f>
            </strRef>
          </tx>
          <spPr>
            <a:ln xmlns:a="http://schemas.openxmlformats.org/drawingml/2006/main">
              <a:prstDash val="solid"/>
            </a:ln>
          </spPr>
          <cat>
            <numRef>
              <f>'QVM Portfolio'!$B$6:$B$16</f>
            </numRef>
          </cat>
          <val>
            <numRef>
              <f>'QVM Portfolio'!$M$6:$M$16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Unrealized Performance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'QVM Portfolio'!O5</f>
            </strRef>
          </tx>
          <spPr>
            <a:ln xmlns:a="http://schemas.openxmlformats.org/drawingml/2006/main">
              <a:prstDash val="solid"/>
            </a:ln>
          </spPr>
          <cat>
            <numRef>
              <f>'QVM Portfolio'!$B$6:$B$16</f>
            </numRef>
          </cat>
          <val>
            <numRef>
              <f>'QVM Portfolio'!$O$6:$O$16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twoCellAnchor>
    <from>
      <col>0</col>
      <colOff>0</colOff>
      <row>11</row>
      <rowOff>171450</rowOff>
    </from>
    <to>
      <col>11</col>
      <colOff>9525</colOff>
      <row>27</row>
      <rowOff>133350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0</col>
      <colOff>0</colOff>
      <row>24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40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40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1" displayName="Table1" ref="A1:L12" headerRowCount="1" totalsRowShown="0">
  <autoFilter ref="A1:L12"/>
  <tableColumns count="12">
    <tableColumn id="1" name="High Priority Watch List" dataDxfId="11"/>
    <tableColumn id="2" name="Column1" dataDxfId="10"/>
    <tableColumn id="3" name="Column2" dataDxfId="9"/>
    <tableColumn id="4" name="Column3" dataDxfId="8"/>
    <tableColumn id="5" name="Column4" dataDxfId="7"/>
    <tableColumn id="6" name="Column5" dataDxfId="6"/>
    <tableColumn id="7" name="Column6" dataDxfId="5"/>
    <tableColumn id="8" name="Column7" dataDxfId="4"/>
    <tableColumn id="9" name="Column8" dataDxfId="3"/>
    <tableColumn id="10" name="Column9" dataDxfId="2"/>
    <tableColumn id="11" name="Column10" dataDxfId="1"/>
    <tableColumn id="12" name="Column 1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B10" sqref="B10"/>
    </sheetView>
  </sheetViews>
  <sheetFormatPr baseColWidth="8" defaultRowHeight="15"/>
  <cols>
    <col width="74" customWidth="1" min="1" max="1"/>
    <col width="40.140625" bestFit="1" customWidth="1" min="3" max="3"/>
    <col width="23.140625" bestFit="1" customWidth="1" min="4" max="4"/>
    <col width="38.140625" bestFit="1" customWidth="1" min="5" max="5"/>
    <col width="15.42578125" bestFit="1" customWidth="1" min="6" max="6"/>
    <col width="11.140625" bestFit="1" customWidth="1" min="7" max="7"/>
    <col width="7" bestFit="1" customWidth="1" min="8" max="8"/>
  </cols>
  <sheetData>
    <row r="1" ht="18.75" customHeight="1">
      <c r="A1" s="4" t="inlineStr">
        <is>
          <t>Mid Cap Stocks ($2B - $10B)</t>
        </is>
      </c>
    </row>
    <row r="2">
      <c r="A2" s="2" t="inlineStr">
        <is>
          <t>This set of stocks (entries 1-80) passed manual filters on Finviz for Mid Cap valuation.</t>
        </is>
      </c>
    </row>
    <row r="3">
      <c r="B3" s="5" t="inlineStr">
        <is>
          <t>Ticker</t>
        </is>
      </c>
      <c r="C3" s="5" t="inlineStr">
        <is>
          <t>Company</t>
        </is>
      </c>
      <c r="D3" s="5" t="inlineStr">
        <is>
          <t>Sector</t>
        </is>
      </c>
      <c r="E3" s="5" t="inlineStr">
        <is>
          <t>Industry</t>
        </is>
      </c>
      <c r="F3" s="5" t="inlineStr">
        <is>
          <t>Country</t>
        </is>
      </c>
      <c r="G3" s="5" t="inlineStr">
        <is>
          <t>Market Cap</t>
        </is>
      </c>
      <c r="H3" s="5" t="inlineStr">
        <is>
          <t>Price</t>
        </is>
      </c>
    </row>
    <row r="4">
      <c r="A4" t="n">
        <v>1</v>
      </c>
      <c r="B4" t="inlineStr">
        <is>
          <t>ADEA</t>
        </is>
      </c>
      <c r="C4" t="inlineStr">
        <is>
          <t>Adeia Inc</t>
        </is>
      </c>
      <c r="D4" t="inlineStr">
        <is>
          <t>Technology</t>
        </is>
      </c>
      <c r="E4" t="inlineStr">
        <is>
          <t>Software - Application</t>
        </is>
      </c>
      <c r="F4" t="inlineStr">
        <is>
          <t>USA</t>
        </is>
      </c>
      <c r="G4" t="inlineStr">
        <is>
          <t>2.93B</t>
        </is>
      </c>
      <c r="H4" t="n">
        <v>26.87</v>
      </c>
    </row>
    <row r="5">
      <c r="A5" t="n">
        <v>2</v>
      </c>
      <c r="B5" t="inlineStr">
        <is>
          <t>ADMA</t>
        </is>
      </c>
      <c r="C5" t="inlineStr">
        <is>
          <t>Adma Biologics Inc</t>
        </is>
      </c>
      <c r="D5" t="inlineStr">
        <is>
          <t>Healthcare</t>
        </is>
      </c>
      <c r="E5" t="inlineStr">
        <is>
          <t>Biotechnology</t>
        </is>
      </c>
      <c r="F5" t="inlineStr">
        <is>
          <t>USA</t>
        </is>
      </c>
      <c r="G5" t="inlineStr">
        <is>
          <t>2.31B</t>
        </is>
      </c>
      <c r="H5" t="n">
        <v>9.699999999999999</v>
      </c>
    </row>
    <row r="6">
      <c r="A6" t="n">
        <v>3</v>
      </c>
      <c r="B6" t="inlineStr">
        <is>
          <t>ALGM</t>
        </is>
      </c>
      <c r="C6" t="inlineStr">
        <is>
          <t>Allegro Microsystems Inc</t>
        </is>
      </c>
      <c r="D6" t="inlineStr">
        <is>
          <t>Technology</t>
        </is>
      </c>
      <c r="E6" t="inlineStr">
        <is>
          <t>Semiconductors</t>
        </is>
      </c>
      <c r="F6" t="inlineStr">
        <is>
          <t>USA</t>
        </is>
      </c>
      <c r="G6" t="inlineStr">
        <is>
          <t>6.95B</t>
        </is>
      </c>
      <c r="H6" t="n">
        <v>37.5</v>
      </c>
    </row>
    <row r="7">
      <c r="A7" t="n">
        <v>4</v>
      </c>
      <c r="B7" t="inlineStr">
        <is>
          <t>AMBA</t>
        </is>
      </c>
      <c r="C7" t="inlineStr">
        <is>
          <t>Ambarella Inc</t>
        </is>
      </c>
      <c r="D7" t="inlineStr">
        <is>
          <t>Technology</t>
        </is>
      </c>
      <c r="E7" t="inlineStr">
        <is>
          <t>Semiconductor Equipment &amp; Materials</t>
        </is>
      </c>
      <c r="F7" t="inlineStr">
        <is>
          <t>USA</t>
        </is>
      </c>
      <c r="G7" t="inlineStr">
        <is>
          <t>2.31B</t>
        </is>
      </c>
      <c r="H7" t="n">
        <v>52.78</v>
      </c>
    </row>
    <row r="8">
      <c r="A8" t="n">
        <v>5</v>
      </c>
      <c r="B8" t="inlineStr">
        <is>
          <t>APPF</t>
        </is>
      </c>
      <c r="C8" t="inlineStr">
        <is>
          <t>Appfolio Inc</t>
        </is>
      </c>
      <c r="D8" t="inlineStr">
        <is>
          <t>Technology</t>
        </is>
      </c>
      <c r="E8" t="inlineStr">
        <is>
          <t>Software - Application</t>
        </is>
      </c>
      <c r="F8" t="inlineStr">
        <is>
          <t>USA</t>
        </is>
      </c>
      <c r="G8" t="inlineStr">
        <is>
          <t>5.16B</t>
        </is>
      </c>
      <c r="H8" t="n">
        <v>143.34</v>
      </c>
    </row>
    <row r="9">
      <c r="A9" t="n">
        <v>6</v>
      </c>
      <c r="B9" t="inlineStr">
        <is>
          <t>ARIS</t>
        </is>
      </c>
      <c r="C9" t="inlineStr">
        <is>
          <t>Aris Mining Corp</t>
        </is>
      </c>
      <c r="D9" t="inlineStr">
        <is>
          <t>Basic Materials</t>
        </is>
      </c>
      <c r="E9" t="inlineStr">
        <is>
          <t>Gold</t>
        </is>
      </c>
      <c r="F9" t="inlineStr">
        <is>
          <t>Canada</t>
        </is>
      </c>
      <c r="G9" t="inlineStr">
        <is>
          <t>4.28B</t>
        </is>
      </c>
      <c r="H9" t="n">
        <v>20.74</v>
      </c>
    </row>
    <row r="10">
      <c r="A10" t="n">
        <v>7</v>
      </c>
      <c r="B10" s="8" t="inlineStr">
        <is>
          <t>ARQT</t>
        </is>
      </c>
      <c r="C10" t="inlineStr">
        <is>
          <t>Arcutis Biotherapeutics Inc</t>
        </is>
      </c>
      <c r="D10" t="inlineStr">
        <is>
          <t>Healthcare</t>
        </is>
      </c>
      <c r="E10" t="inlineStr">
        <is>
          <t>Biotechnology</t>
        </is>
      </c>
      <c r="F10" t="inlineStr">
        <is>
          <t>USA</t>
        </is>
      </c>
      <c r="G10" t="inlineStr">
        <is>
          <t>3.00B</t>
        </is>
      </c>
      <c r="H10" t="n">
        <v>24.21</v>
      </c>
    </row>
    <row r="11">
      <c r="A11" t="n">
        <v>8</v>
      </c>
      <c r="B11" t="inlineStr">
        <is>
          <t>ASR</t>
        </is>
      </c>
      <c r="C11" t="inlineStr">
        <is>
          <t>Grupo Aeroportuario Del Sureste S.A. ADR</t>
        </is>
      </c>
      <c r="D11" t="inlineStr">
        <is>
          <t>Industrials</t>
        </is>
      </c>
      <c r="E11" t="inlineStr">
        <is>
          <t>Airports &amp; Air Services</t>
        </is>
      </c>
      <c r="F11" t="inlineStr">
        <is>
          <t>Mexico</t>
        </is>
      </c>
      <c r="G11" s="6" t="inlineStr">
        <is>
          <t>9.63B</t>
        </is>
      </c>
      <c r="H11" s="7" t="n">
        <v>347.61</v>
      </c>
    </row>
    <row r="12">
      <c r="A12" t="n">
        <v>9</v>
      </c>
      <c r="B12" t="inlineStr">
        <is>
          <t>ATAT</t>
        </is>
      </c>
      <c r="C12" t="inlineStr">
        <is>
          <t>Atour Lifestyle Holdings Ltd ADR</t>
        </is>
      </c>
      <c r="D12" t="inlineStr">
        <is>
          <t>Consumer Cyclical</t>
        </is>
      </c>
      <c r="E12" t="inlineStr">
        <is>
          <t>Lodging</t>
        </is>
      </c>
      <c r="F12" t="inlineStr">
        <is>
          <t>China</t>
        </is>
      </c>
      <c r="G12" t="inlineStr">
        <is>
          <t>4.11B</t>
        </is>
      </c>
      <c r="H12" t="n">
        <v>36.13</v>
      </c>
    </row>
    <row r="13">
      <c r="A13" t="n">
        <v>10</v>
      </c>
      <c r="B13" t="inlineStr">
        <is>
          <t>AUPH</t>
        </is>
      </c>
      <c r="C13" t="inlineStr">
        <is>
          <t>Aurinia Pharmaceuticals Inc</t>
        </is>
      </c>
      <c r="D13" t="inlineStr">
        <is>
          <t>Healthcare</t>
        </is>
      </c>
      <c r="E13" t="inlineStr">
        <is>
          <t>Biotechnology</t>
        </is>
      </c>
      <c r="F13" t="inlineStr">
        <is>
          <t>Canada</t>
        </is>
      </c>
      <c r="G13" t="inlineStr">
        <is>
          <t>2.10B</t>
        </is>
      </c>
      <c r="H13" t="n">
        <v>15.76</v>
      </c>
    </row>
    <row r="14">
      <c r="A14" t="n">
        <v>11</v>
      </c>
      <c r="B14" t="inlineStr">
        <is>
          <t>BEAM</t>
        </is>
      </c>
      <c r="C14" t="inlineStr">
        <is>
          <t>Beam Therapeutics Inc</t>
        </is>
      </c>
      <c r="D14" t="inlineStr">
        <is>
          <t>Healthcare</t>
        </is>
      </c>
      <c r="E14" t="inlineStr">
        <is>
          <t>Biotechnology</t>
        </is>
      </c>
      <c r="F14" t="inlineStr">
        <is>
          <t>USA</t>
        </is>
      </c>
      <c r="G14" t="inlineStr">
        <is>
          <t>2.79B</t>
        </is>
      </c>
      <c r="H14" t="n">
        <v>27.43</v>
      </c>
    </row>
    <row r="15">
      <c r="A15" t="n">
        <v>12</v>
      </c>
      <c r="B15" t="inlineStr">
        <is>
          <t>BIRK</t>
        </is>
      </c>
      <c r="C15" t="inlineStr">
        <is>
          <t>Birkenstock Holding Plc</t>
        </is>
      </c>
      <c r="D15" t="inlineStr">
        <is>
          <t>Consumer Cyclical</t>
        </is>
      </c>
      <c r="E15" t="inlineStr">
        <is>
          <t>Footwear &amp; Accessories</t>
        </is>
      </c>
      <c r="F15" t="inlineStr">
        <is>
          <t>United Kingdom</t>
        </is>
      </c>
      <c r="G15" t="inlineStr">
        <is>
          <t>6.99B</t>
        </is>
      </c>
      <c r="H15" t="n">
        <v>38.03</v>
      </c>
    </row>
    <row r="16">
      <c r="A16" t="n">
        <v>13</v>
      </c>
      <c r="B16" t="inlineStr">
        <is>
          <t>BLLN</t>
        </is>
      </c>
      <c r="C16" t="inlineStr">
        <is>
          <t>Billiontoone Inc</t>
        </is>
      </c>
      <c r="D16" t="inlineStr">
        <is>
          <t>Healthcare</t>
        </is>
      </c>
      <c r="E16" t="inlineStr">
        <is>
          <t>Diagnostics &amp; Research</t>
        </is>
      </c>
      <c r="F16" t="inlineStr">
        <is>
          <t>USA</t>
        </is>
      </c>
      <c r="G16" t="inlineStr">
        <is>
          <t>3.73B</t>
        </is>
      </c>
      <c r="H16" t="n">
        <v>81.13</v>
      </c>
    </row>
    <row r="17">
      <c r="A17" t="n">
        <v>14</v>
      </c>
      <c r="B17" t="inlineStr">
        <is>
          <t>BVN</t>
        </is>
      </c>
      <c r="C17" t="inlineStr">
        <is>
          <t>Compania de Minas Buenaventura S.A. ADR</t>
        </is>
      </c>
      <c r="D17" t="inlineStr">
        <is>
          <t>Basic Materials</t>
        </is>
      </c>
      <c r="E17" t="inlineStr">
        <is>
          <t>Other Precious Metals &amp; Mining</t>
        </is>
      </c>
      <c r="F17" t="inlineStr">
        <is>
          <t>Peru</t>
        </is>
      </c>
      <c r="G17" s="6" t="inlineStr">
        <is>
          <t>9.58B</t>
        </is>
      </c>
      <c r="H17" t="n">
        <v>37.77</v>
      </c>
    </row>
    <row r="18">
      <c r="A18" t="n">
        <v>15</v>
      </c>
      <c r="B18" t="inlineStr">
        <is>
          <t>BZ</t>
        </is>
      </c>
      <c r="C18" t="inlineStr">
        <is>
          <t>Kanzhun Ltd ADR</t>
        </is>
      </c>
      <c r="D18" t="inlineStr">
        <is>
          <t>Communication Services</t>
        </is>
      </c>
      <c r="E18" t="inlineStr">
        <is>
          <t>Internet Content &amp; Information</t>
        </is>
      </c>
      <c r="F18" t="inlineStr">
        <is>
          <t>China</t>
        </is>
      </c>
      <c r="G18" t="inlineStr">
        <is>
          <t>5.25B</t>
        </is>
      </c>
      <c r="H18" t="n">
        <v>13.05</v>
      </c>
    </row>
    <row r="19">
      <c r="A19" t="n">
        <v>16</v>
      </c>
      <c r="B19" t="inlineStr">
        <is>
          <t>CAI</t>
        </is>
      </c>
      <c r="C19" t="inlineStr">
        <is>
          <t>Caris Life Sciences Inc</t>
        </is>
      </c>
      <c r="D19" t="inlineStr">
        <is>
          <t>Healthcare</t>
        </is>
      </c>
      <c r="E19" t="inlineStr">
        <is>
          <t>Biotechnology</t>
        </is>
      </c>
      <c r="F19" t="inlineStr">
        <is>
          <t>USA</t>
        </is>
      </c>
      <c r="G19" t="inlineStr">
        <is>
          <t>5.10B</t>
        </is>
      </c>
      <c r="H19" t="n">
        <v>18.05</v>
      </c>
    </row>
    <row r="20">
      <c r="A20" t="n">
        <v>17</v>
      </c>
      <c r="B20" t="inlineStr">
        <is>
          <t>CALX</t>
        </is>
      </c>
      <c r="C20" t="inlineStr">
        <is>
          <t>Calix Inc</t>
        </is>
      </c>
      <c r="D20" t="inlineStr">
        <is>
          <t>Technology</t>
        </is>
      </c>
      <c r="E20" t="inlineStr">
        <is>
          <t>Software - Infrastructure</t>
        </is>
      </c>
      <c r="F20" t="inlineStr">
        <is>
          <t>USA</t>
        </is>
      </c>
      <c r="G20" t="inlineStr">
        <is>
          <t>3.13B</t>
        </is>
      </c>
      <c r="H20" t="n">
        <v>47.73</v>
      </c>
    </row>
    <row r="21">
      <c r="A21" t="n">
        <v>18</v>
      </c>
      <c r="B21" t="inlineStr">
        <is>
          <t>CHYM</t>
        </is>
      </c>
      <c r="C21" t="inlineStr">
        <is>
          <t>Chime Financial Inc</t>
        </is>
      </c>
      <c r="D21" t="inlineStr">
        <is>
          <t>Technology</t>
        </is>
      </c>
      <c r="E21" t="inlineStr">
        <is>
          <t>Software - Application</t>
        </is>
      </c>
      <c r="F21" t="inlineStr">
        <is>
          <t>USA</t>
        </is>
      </c>
      <c r="G21" t="inlineStr">
        <is>
          <t>7.53B</t>
        </is>
      </c>
      <c r="H21" t="n">
        <v>19.61</v>
      </c>
    </row>
    <row r="22">
      <c r="A22" t="n">
        <v>19</v>
      </c>
      <c r="B22" t="inlineStr">
        <is>
          <t>CLBT</t>
        </is>
      </c>
      <c r="C22" t="inlineStr">
        <is>
          <t>Cellebrite DI Ltd</t>
        </is>
      </c>
      <c r="D22" t="inlineStr">
        <is>
          <t>Technology</t>
        </is>
      </c>
      <c r="E22" t="inlineStr">
        <is>
          <t>Software - Infrastructure</t>
        </is>
      </c>
      <c r="F22" t="inlineStr">
        <is>
          <t>Israel</t>
        </is>
      </c>
      <c r="G22" t="inlineStr">
        <is>
          <t>2.75B</t>
        </is>
      </c>
      <c r="H22" t="n">
        <v>11.03</v>
      </c>
    </row>
    <row r="23">
      <c r="A23" t="n">
        <v>20</v>
      </c>
      <c r="B23" t="inlineStr">
        <is>
          <t>CSW</t>
        </is>
      </c>
      <c r="C23" t="inlineStr">
        <is>
          <t>CSW Industrials Inc</t>
        </is>
      </c>
      <c r="D23" t="inlineStr">
        <is>
          <t>Industrials</t>
        </is>
      </c>
      <c r="E23" t="inlineStr">
        <is>
          <t>Specialty Industrial Machinery</t>
        </is>
      </c>
      <c r="F23" t="inlineStr">
        <is>
          <t>USA</t>
        </is>
      </c>
      <c r="G23" t="inlineStr">
        <is>
          <t>4.79B</t>
        </is>
      </c>
      <c r="H23" s="7" t="n">
        <v>290.54</v>
      </c>
    </row>
    <row r="24">
      <c r="A24" t="n">
        <v>21</v>
      </c>
      <c r="B24" t="inlineStr">
        <is>
          <t>CTRE</t>
        </is>
      </c>
      <c r="C24" t="inlineStr">
        <is>
          <t>CareTrust REIT Inc</t>
        </is>
      </c>
      <c r="D24" t="inlineStr">
        <is>
          <t>Real Estate</t>
        </is>
      </c>
      <c r="E24" t="inlineStr">
        <is>
          <t>REIT - Healthcare Facilities</t>
        </is>
      </c>
      <c r="F24" t="inlineStr">
        <is>
          <t>USA</t>
        </is>
      </c>
      <c r="G24" s="6" t="inlineStr">
        <is>
          <t>8.86B</t>
        </is>
      </c>
      <c r="H24" t="n">
        <v>39.69</v>
      </c>
    </row>
    <row r="25">
      <c r="A25" t="n">
        <v>22</v>
      </c>
      <c r="B25" t="inlineStr">
        <is>
          <t>CWAN</t>
        </is>
      </c>
      <c r="C25" t="inlineStr">
        <is>
          <t>Clearwater Analytics Holdings Inc</t>
        </is>
      </c>
      <c r="D25" t="inlineStr">
        <is>
          <t>Technology</t>
        </is>
      </c>
      <c r="E25" t="inlineStr">
        <is>
          <t>Software - Application</t>
        </is>
      </c>
      <c r="F25" t="inlineStr">
        <is>
          <t>USA</t>
        </is>
      </c>
      <c r="G25" t="inlineStr">
        <is>
          <t>7.14B</t>
        </is>
      </c>
      <c r="H25" t="n">
        <v>24</v>
      </c>
    </row>
    <row r="26">
      <c r="A26" t="n">
        <v>23</v>
      </c>
      <c r="B26" t="inlineStr">
        <is>
          <t>CXT</t>
        </is>
      </c>
      <c r="C26" t="inlineStr">
        <is>
          <t>Crane NXT Co</t>
        </is>
      </c>
      <c r="D26" t="inlineStr">
        <is>
          <t>Industrials</t>
        </is>
      </c>
      <c r="E26" t="inlineStr">
        <is>
          <t>Specialty Industrial Machinery</t>
        </is>
      </c>
      <c r="F26" t="inlineStr">
        <is>
          <t>USA</t>
        </is>
      </c>
      <c r="G26" t="inlineStr">
        <is>
          <t>2.52B</t>
        </is>
      </c>
      <c r="H26" t="n">
        <v>43.88</v>
      </c>
    </row>
    <row r="27">
      <c r="A27" t="n">
        <v>24</v>
      </c>
      <c r="B27" t="inlineStr">
        <is>
          <t>DAVE</t>
        </is>
      </c>
      <c r="C27" t="inlineStr">
        <is>
          <t>Dave Inc</t>
        </is>
      </c>
      <c r="D27" t="inlineStr">
        <is>
          <t>Technology</t>
        </is>
      </c>
      <c r="E27" t="inlineStr">
        <is>
          <t>Software - Application</t>
        </is>
      </c>
      <c r="F27" t="inlineStr">
        <is>
          <t>USA</t>
        </is>
      </c>
      <c r="G27" t="inlineStr">
        <is>
          <t>2.51B</t>
        </is>
      </c>
      <c r="H27" t="n">
        <v>185.41</v>
      </c>
    </row>
    <row r="28">
      <c r="A28" t="n">
        <v>25</v>
      </c>
      <c r="B28" t="inlineStr">
        <is>
          <t>DAWN</t>
        </is>
      </c>
      <c r="C28" t="inlineStr">
        <is>
          <t>Day One Biopharmaceuticals Inc</t>
        </is>
      </c>
      <c r="D28" t="inlineStr">
        <is>
          <t>Healthcare</t>
        </is>
      </c>
      <c r="E28" t="inlineStr">
        <is>
          <t>Biotechnology</t>
        </is>
      </c>
      <c r="F28" t="inlineStr">
        <is>
          <t>USA</t>
        </is>
      </c>
      <c r="G28" t="inlineStr">
        <is>
          <t>2.22B</t>
        </is>
      </c>
      <c r="H28" t="n">
        <v>21.47</v>
      </c>
    </row>
    <row r="29">
      <c r="A29" t="n">
        <v>26</v>
      </c>
      <c r="B29" t="inlineStr">
        <is>
          <t>DRD</t>
        </is>
      </c>
      <c r="C29" t="inlineStr">
        <is>
          <t>DRDGold Ltd. ADR</t>
        </is>
      </c>
      <c r="D29" t="inlineStr">
        <is>
          <t>Basic Materials</t>
        </is>
      </c>
      <c r="E29" t="inlineStr">
        <is>
          <t>Gold</t>
        </is>
      </c>
      <c r="F29" t="inlineStr">
        <is>
          <t>South Africa</t>
        </is>
      </c>
      <c r="G29" t="inlineStr">
        <is>
          <t>2.76B</t>
        </is>
      </c>
      <c r="H29" t="n">
        <v>31.95</v>
      </c>
    </row>
    <row r="30">
      <c r="A30" t="n">
        <v>27</v>
      </c>
      <c r="B30" t="inlineStr">
        <is>
          <t>DSGX</t>
        </is>
      </c>
      <c r="C30" t="inlineStr">
        <is>
          <t>Descartes Systems Group Inc</t>
        </is>
      </c>
      <c r="D30" t="inlineStr">
        <is>
          <t>Technology</t>
        </is>
      </c>
      <c r="E30" t="inlineStr">
        <is>
          <t>Software - Application</t>
        </is>
      </c>
      <c r="F30" t="inlineStr">
        <is>
          <t>Canada</t>
        </is>
      </c>
      <c r="G30" t="inlineStr">
        <is>
          <t>5.43B</t>
        </is>
      </c>
      <c r="H30" t="n">
        <v>63.08</v>
      </c>
    </row>
    <row r="31">
      <c r="A31" t="n">
        <v>28</v>
      </c>
      <c r="B31" t="inlineStr">
        <is>
          <t>DUOL</t>
        </is>
      </c>
      <c r="C31" t="inlineStr">
        <is>
          <t>Duolingo Inc</t>
        </is>
      </c>
      <c r="D31" t="inlineStr">
        <is>
          <t>Technology</t>
        </is>
      </c>
      <c r="E31" t="inlineStr">
        <is>
          <t>Software - Application</t>
        </is>
      </c>
      <c r="F31" t="inlineStr">
        <is>
          <t>USA</t>
        </is>
      </c>
      <c r="G31" t="inlineStr">
        <is>
          <t>4.23B</t>
        </is>
      </c>
      <c r="H31" t="n">
        <v>90.03</v>
      </c>
    </row>
    <row r="32">
      <c r="A32" t="n">
        <v>29</v>
      </c>
      <c r="B32" t="inlineStr">
        <is>
          <t>EGO</t>
        </is>
      </c>
      <c r="C32" t="inlineStr">
        <is>
          <t>Eldorado Gold Corp</t>
        </is>
      </c>
      <c r="D32" t="inlineStr">
        <is>
          <t>Basic Materials</t>
        </is>
      </c>
      <c r="E32" t="inlineStr">
        <is>
          <t>Gold</t>
        </is>
      </c>
      <c r="F32" t="inlineStr">
        <is>
          <t>Canada</t>
        </is>
      </c>
      <c r="G32" t="inlineStr">
        <is>
          <t>7.24B</t>
        </is>
      </c>
      <c r="H32" t="n">
        <v>36.46</v>
      </c>
    </row>
    <row r="33">
      <c r="A33" t="n">
        <v>30</v>
      </c>
      <c r="B33" t="inlineStr">
        <is>
          <t>ELF</t>
        </is>
      </c>
      <c r="C33" t="inlineStr">
        <is>
          <t>e.l.f. Beauty Inc</t>
        </is>
      </c>
      <c r="D33" t="inlineStr">
        <is>
          <t>Consumer Defensive</t>
        </is>
      </c>
      <c r="E33" t="inlineStr">
        <is>
          <t>Household &amp; Personal Products</t>
        </is>
      </c>
      <c r="F33" t="inlineStr">
        <is>
          <t>USA</t>
        </is>
      </c>
      <c r="G33" t="inlineStr">
        <is>
          <t>3.85B</t>
        </is>
      </c>
      <c r="H33" t="n">
        <v>65.13</v>
      </c>
    </row>
    <row r="34">
      <c r="A34" t="n">
        <v>31</v>
      </c>
      <c r="B34" t="inlineStr">
        <is>
          <t>EPRT</t>
        </is>
      </c>
      <c r="C34" t="inlineStr">
        <is>
          <t>Essential Properties Realty Trust Inc</t>
        </is>
      </c>
      <c r="D34" t="inlineStr">
        <is>
          <t>Real Estate</t>
        </is>
      </c>
      <c r="E34" t="inlineStr">
        <is>
          <t>REIT - Retail</t>
        </is>
      </c>
      <c r="F34" t="inlineStr">
        <is>
          <t>USA</t>
        </is>
      </c>
      <c r="G34" t="inlineStr">
        <is>
          <t>6.85B</t>
        </is>
      </c>
      <c r="H34" t="n">
        <v>32.54</v>
      </c>
    </row>
    <row r="35">
      <c r="A35" t="n">
        <v>32</v>
      </c>
      <c r="B35" t="inlineStr">
        <is>
          <t>ESTC</t>
        </is>
      </c>
      <c r="C35" t="inlineStr">
        <is>
          <t>Elastic N.V</t>
        </is>
      </c>
      <c r="D35" t="inlineStr">
        <is>
          <t>Technology</t>
        </is>
      </c>
      <c r="E35" t="inlineStr">
        <is>
          <t>Software - Application</t>
        </is>
      </c>
      <c r="F35" t="inlineStr">
        <is>
          <t>USA</t>
        </is>
      </c>
      <c r="G35" t="inlineStr">
        <is>
          <t>4.48B</t>
        </is>
      </c>
      <c r="H35" t="n">
        <v>43.3</v>
      </c>
    </row>
    <row r="36">
      <c r="A36" t="n">
        <v>33</v>
      </c>
      <c r="B36" t="inlineStr">
        <is>
          <t>FIG</t>
        </is>
      </c>
      <c r="C36" t="inlineStr">
        <is>
          <t>Figma Inc</t>
        </is>
      </c>
      <c r="D36" t="inlineStr">
        <is>
          <t>Technology</t>
        </is>
      </c>
      <c r="E36" t="inlineStr">
        <is>
          <t>Software - Application</t>
        </is>
      </c>
      <c r="F36" t="inlineStr">
        <is>
          <t>USA</t>
        </is>
      </c>
      <c r="G36" s="6" t="inlineStr">
        <is>
          <t>9.47B</t>
        </is>
      </c>
      <c r="H36" t="n">
        <v>18.16</v>
      </c>
    </row>
    <row r="37">
      <c r="A37" t="n">
        <v>34</v>
      </c>
      <c r="B37" t="inlineStr">
        <is>
          <t>FIGS</t>
        </is>
      </c>
      <c r="C37" t="inlineStr">
        <is>
          <t>Figs Inc</t>
        </is>
      </c>
      <c r="D37" t="inlineStr">
        <is>
          <t>Consumer Cyclical</t>
        </is>
      </c>
      <c r="E37" t="inlineStr">
        <is>
          <t>Apparel Manufacturing</t>
        </is>
      </c>
      <c r="F37" t="inlineStr">
        <is>
          <t>USA</t>
        </is>
      </c>
      <c r="G37" t="inlineStr">
        <is>
          <t>2.37B</t>
        </is>
      </c>
      <c r="H37" t="n">
        <v>14.22</v>
      </c>
    </row>
    <row r="38">
      <c r="A38" t="n">
        <v>35</v>
      </c>
      <c r="B38" t="inlineStr">
        <is>
          <t>FROG</t>
        </is>
      </c>
      <c r="C38" t="inlineStr">
        <is>
          <t>JFrog Ltd</t>
        </is>
      </c>
      <c r="D38" t="inlineStr">
        <is>
          <t>Technology</t>
        </is>
      </c>
      <c r="E38" t="inlineStr">
        <is>
          <t>Software - Application</t>
        </is>
      </c>
      <c r="F38" t="inlineStr">
        <is>
          <t>USA</t>
        </is>
      </c>
      <c r="G38" t="inlineStr">
        <is>
          <t>5.17B</t>
        </is>
      </c>
      <c r="H38" t="n">
        <v>43.22</v>
      </c>
    </row>
    <row r="39">
      <c r="A39" t="n">
        <v>36</v>
      </c>
      <c r="B39" t="inlineStr">
        <is>
          <t>FSLY</t>
        </is>
      </c>
      <c r="C39" t="inlineStr">
        <is>
          <t>Fastly Inc</t>
        </is>
      </c>
      <c r="D39" t="inlineStr">
        <is>
          <t>Technology</t>
        </is>
      </c>
      <c r="E39" t="inlineStr">
        <is>
          <t>Software - Application</t>
        </is>
      </c>
      <c r="F39" t="inlineStr">
        <is>
          <t>USA</t>
        </is>
      </c>
      <c r="G39" t="inlineStr">
        <is>
          <t>3.50B</t>
        </is>
      </c>
      <c r="H39" t="n">
        <v>23.07</v>
      </c>
    </row>
    <row r="40">
      <c r="A40" t="n">
        <v>37</v>
      </c>
      <c r="B40" t="inlineStr">
        <is>
          <t>GKOS</t>
        </is>
      </c>
      <c r="C40" t="inlineStr">
        <is>
          <t>Glaukos Corporation</t>
        </is>
      </c>
      <c r="D40" t="inlineStr">
        <is>
          <t>Healthcare</t>
        </is>
      </c>
      <c r="E40" t="inlineStr">
        <is>
          <t>Medical Devices</t>
        </is>
      </c>
      <c r="F40" t="inlineStr">
        <is>
          <t>USA</t>
        </is>
      </c>
      <c r="G40" t="inlineStr">
        <is>
          <t>6.76B</t>
        </is>
      </c>
      <c r="H40" t="n">
        <v>116.4</v>
      </c>
    </row>
    <row r="41">
      <c r="A41" t="n">
        <v>38</v>
      </c>
      <c r="B41" t="inlineStr">
        <is>
          <t>GLBE</t>
        </is>
      </c>
      <c r="C41" t="inlineStr">
        <is>
          <t>Global E Online Ltd</t>
        </is>
      </c>
      <c r="D41" t="inlineStr">
        <is>
          <t>Consumer Cyclical</t>
        </is>
      </c>
      <c r="E41" t="inlineStr">
        <is>
          <t>Internet Retail</t>
        </is>
      </c>
      <c r="F41" t="inlineStr">
        <is>
          <t>Israel</t>
        </is>
      </c>
      <c r="G41" t="inlineStr">
        <is>
          <t>5.12B</t>
        </is>
      </c>
      <c r="H41" t="n">
        <v>30.23</v>
      </c>
    </row>
    <row r="42">
      <c r="A42" t="n">
        <v>39</v>
      </c>
      <c r="B42" t="inlineStr">
        <is>
          <t>GTLB</t>
        </is>
      </c>
      <c r="C42" t="inlineStr">
        <is>
          <t>Gitlab Inc</t>
        </is>
      </c>
      <c r="D42" t="inlineStr">
        <is>
          <t>Technology</t>
        </is>
      </c>
      <c r="E42" t="inlineStr">
        <is>
          <t>Software - Infrastructure</t>
        </is>
      </c>
      <c r="F42" t="inlineStr">
        <is>
          <t>USA</t>
        </is>
      </c>
      <c r="G42" t="inlineStr">
        <is>
          <t>3.30B</t>
        </is>
      </c>
      <c r="H42" t="n">
        <v>19.42</v>
      </c>
    </row>
    <row r="43">
      <c r="A43" t="n">
        <v>40</v>
      </c>
      <c r="B43" t="inlineStr">
        <is>
          <t>GWRE</t>
        </is>
      </c>
      <c r="C43" t="inlineStr">
        <is>
          <t>Guidewire Software Inc</t>
        </is>
      </c>
      <c r="D43" t="inlineStr">
        <is>
          <t>Technology</t>
        </is>
      </c>
      <c r="E43" t="inlineStr">
        <is>
          <t>Software - Application</t>
        </is>
      </c>
      <c r="F43" t="inlineStr">
        <is>
          <t>USA</t>
        </is>
      </c>
      <c r="G43" s="6" t="inlineStr">
        <is>
          <t>9.99B</t>
        </is>
      </c>
      <c r="H43" t="n">
        <v>117.95</v>
      </c>
    </row>
    <row r="44">
      <c r="A44" t="n">
        <v>61</v>
      </c>
      <c r="B44" t="inlineStr">
        <is>
          <t>PRDO</t>
        </is>
      </c>
      <c r="C44" t="inlineStr">
        <is>
          <t>Perdoceo Education Corporation</t>
        </is>
      </c>
      <c r="D44" t="inlineStr">
        <is>
          <t>Consumer Defensive</t>
        </is>
      </c>
      <c r="E44" t="inlineStr">
        <is>
          <t>Education &amp; Training Services</t>
        </is>
      </c>
      <c r="F44" t="inlineStr">
        <is>
          <t>USA</t>
        </is>
      </c>
      <c r="G44" t="inlineStr">
        <is>
          <t>2.21B</t>
        </is>
      </c>
      <c r="H44" t="n">
        <v>35.38</v>
      </c>
    </row>
    <row r="45">
      <c r="A45" t="n">
        <v>62</v>
      </c>
      <c r="B45" t="inlineStr">
        <is>
          <t>PRM</t>
        </is>
      </c>
      <c r="C45" t="inlineStr">
        <is>
          <t>Perimeter Solutions Inc</t>
        </is>
      </c>
      <c r="D45" t="inlineStr">
        <is>
          <t>Basic Materials</t>
        </is>
      </c>
      <c r="E45" t="inlineStr">
        <is>
          <t>Specialty Chemicals</t>
        </is>
      </c>
      <c r="F45" t="inlineStr">
        <is>
          <t>USA</t>
        </is>
      </c>
      <c r="G45" t="inlineStr">
        <is>
          <t>3.81B</t>
        </is>
      </c>
      <c r="H45" t="n">
        <v>25.48</v>
      </c>
    </row>
    <row r="46">
      <c r="A46" t="n">
        <v>63</v>
      </c>
      <c r="B46" t="inlineStr">
        <is>
          <t>PTRN</t>
        </is>
      </c>
      <c r="C46" t="inlineStr">
        <is>
          <t>Pattern Group Inc</t>
        </is>
      </c>
      <c r="D46" t="inlineStr">
        <is>
          <t>Technology</t>
        </is>
      </c>
      <c r="E46" t="inlineStr">
        <is>
          <t>Software - Application</t>
        </is>
      </c>
      <c r="F46" t="inlineStr">
        <is>
          <t>USA</t>
        </is>
      </c>
      <c r="G46" t="inlineStr">
        <is>
          <t>2.20B</t>
        </is>
      </c>
      <c r="H46" t="n">
        <v>12.44</v>
      </c>
    </row>
    <row r="47">
      <c r="A47" t="n">
        <v>64</v>
      </c>
      <c r="B47" t="inlineStr">
        <is>
          <t>QBTS</t>
        </is>
      </c>
      <c r="C47" t="inlineStr">
        <is>
          <t>D-Wave Quantum Inc</t>
        </is>
      </c>
      <c r="D47" t="inlineStr">
        <is>
          <t>Technology</t>
        </is>
      </c>
      <c r="E47" t="inlineStr">
        <is>
          <t>Computer Hardware</t>
        </is>
      </c>
      <c r="F47" t="inlineStr">
        <is>
          <t>USA</t>
        </is>
      </c>
      <c r="G47" t="inlineStr">
        <is>
          <t>5.27B</t>
        </is>
      </c>
      <c r="H47" t="n">
        <v>14.25</v>
      </c>
    </row>
    <row r="48">
      <c r="A48" t="n">
        <v>65</v>
      </c>
      <c r="B48" t="inlineStr">
        <is>
          <t>RCUS</t>
        </is>
      </c>
      <c r="C48" t="inlineStr">
        <is>
          <t>Arcus Biosciences Inc</t>
        </is>
      </c>
      <c r="D48" t="inlineStr">
        <is>
          <t>Healthcare</t>
        </is>
      </c>
      <c r="E48" t="inlineStr">
        <is>
          <t>Biotechnology</t>
        </is>
      </c>
      <c r="F48" t="inlineStr">
        <is>
          <t>USA</t>
        </is>
      </c>
      <c r="G48" t="inlineStr">
        <is>
          <t>2.80B</t>
        </is>
      </c>
      <c r="H48" t="n">
        <v>22.34</v>
      </c>
    </row>
    <row r="49">
      <c r="A49" t="n">
        <v>66</v>
      </c>
      <c r="B49" t="inlineStr">
        <is>
          <t>RELY</t>
        </is>
      </c>
      <c r="C49" t="inlineStr">
        <is>
          <t>Remitly Global Inc</t>
        </is>
      </c>
      <c r="D49" t="inlineStr">
        <is>
          <t>Technology</t>
        </is>
      </c>
      <c r="E49" t="inlineStr">
        <is>
          <t>Software - Infrastructure</t>
        </is>
      </c>
      <c r="F49" t="inlineStr">
        <is>
          <t>USA</t>
        </is>
      </c>
      <c r="G49" t="inlineStr">
        <is>
          <t>3.55B</t>
        </is>
      </c>
      <c r="H49" t="n">
        <v>16.86</v>
      </c>
    </row>
    <row r="50">
      <c r="A50" t="n">
        <v>67</v>
      </c>
      <c r="B50" t="inlineStr">
        <is>
          <t>RGEN</t>
        </is>
      </c>
      <c r="C50" t="inlineStr">
        <is>
          <t>Repligen Corp</t>
        </is>
      </c>
      <c r="D50" t="inlineStr">
        <is>
          <t>Healthcare</t>
        </is>
      </c>
      <c r="E50" t="inlineStr">
        <is>
          <t>Medical Instruments &amp; Supplies</t>
        </is>
      </c>
      <c r="F50" t="inlineStr">
        <is>
          <t>USA</t>
        </is>
      </c>
      <c r="G50" t="inlineStr">
        <is>
          <t>6.77B</t>
        </is>
      </c>
      <c r="H50" t="n">
        <v>120.1</v>
      </c>
    </row>
    <row r="51">
      <c r="A51" t="n">
        <v>68</v>
      </c>
      <c r="B51" t="inlineStr">
        <is>
          <t>SEZL</t>
        </is>
      </c>
      <c r="C51" t="inlineStr">
        <is>
          <t>Sezzle Inc</t>
        </is>
      </c>
      <c r="D51" t="inlineStr">
        <is>
          <t>Financial</t>
        </is>
      </c>
      <c r="E51" t="inlineStr">
        <is>
          <t>Credit Services</t>
        </is>
      </c>
      <c r="F51" t="inlineStr">
        <is>
          <t>USA</t>
        </is>
      </c>
      <c r="G51" t="inlineStr">
        <is>
          <t>2.02B</t>
        </is>
      </c>
      <c r="H51" t="n">
        <v>59.71</v>
      </c>
    </row>
    <row r="52">
      <c r="A52" t="n">
        <v>69</v>
      </c>
      <c r="B52" t="inlineStr">
        <is>
          <t>SHOO</t>
        </is>
      </c>
      <c r="C52" t="inlineStr">
        <is>
          <t>Steven Madden Ltd</t>
        </is>
      </c>
      <c r="D52" t="inlineStr">
        <is>
          <t>Consumer Cyclical</t>
        </is>
      </c>
      <c r="E52" t="inlineStr">
        <is>
          <t>Footwear &amp; Accessories</t>
        </is>
      </c>
      <c r="F52" t="inlineStr">
        <is>
          <t>USA</t>
        </is>
      </c>
      <c r="G52" t="inlineStr">
        <is>
          <t>2.77B</t>
        </is>
      </c>
      <c r="H52" t="n">
        <v>37.96</v>
      </c>
    </row>
    <row r="53">
      <c r="A53" t="n">
        <v>70</v>
      </c>
      <c r="B53" t="inlineStr">
        <is>
          <t>SII</t>
        </is>
      </c>
      <c r="C53" t="inlineStr">
        <is>
          <t>Sprott Inc</t>
        </is>
      </c>
      <c r="D53" t="inlineStr">
        <is>
          <t>Financial</t>
        </is>
      </c>
      <c r="E53" t="inlineStr">
        <is>
          <t>Asset Management</t>
        </is>
      </c>
      <c r="F53" t="inlineStr">
        <is>
          <t>Canada</t>
        </is>
      </c>
      <c r="G53" t="inlineStr">
        <is>
          <t>3.71B</t>
        </is>
      </c>
      <c r="H53" t="n">
        <v>143.99</v>
      </c>
    </row>
    <row r="54">
      <c r="A54" t="n">
        <v>71</v>
      </c>
      <c r="B54" t="inlineStr">
        <is>
          <t>SIMO</t>
        </is>
      </c>
      <c r="C54" t="inlineStr">
        <is>
          <t>Silicon Motion Technology Corp ADR</t>
        </is>
      </c>
      <c r="D54" t="inlineStr">
        <is>
          <t>Technology</t>
        </is>
      </c>
      <c r="E54" t="inlineStr">
        <is>
          <t>Semiconductors</t>
        </is>
      </c>
      <c r="F54" t="inlineStr">
        <is>
          <t>Hong Kong</t>
        </is>
      </c>
      <c r="G54" t="inlineStr">
        <is>
          <t>4.31B</t>
        </is>
      </c>
      <c r="H54" t="n">
        <v>126.71</v>
      </c>
    </row>
    <row r="55">
      <c r="A55" t="n">
        <v>72</v>
      </c>
      <c r="B55" t="inlineStr">
        <is>
          <t>SLAB</t>
        </is>
      </c>
      <c r="C55" t="inlineStr">
        <is>
          <t>Silicon Laboratories Inc</t>
        </is>
      </c>
      <c r="D55" t="inlineStr">
        <is>
          <t>Technology</t>
        </is>
      </c>
      <c r="E55" t="inlineStr">
        <is>
          <t>Semiconductors</t>
        </is>
      </c>
      <c r="F55" t="inlineStr">
        <is>
          <t>USA</t>
        </is>
      </c>
      <c r="G55" t="inlineStr">
        <is>
          <t>6.96B</t>
        </is>
      </c>
      <c r="H55" t="n">
        <v>211.22</v>
      </c>
    </row>
    <row r="56">
      <c r="A56" t="n">
        <v>73</v>
      </c>
      <c r="B56" t="inlineStr">
        <is>
          <t>STNG</t>
        </is>
      </c>
      <c r="C56" t="inlineStr">
        <is>
          <t>Scorpio Tankers Inc</t>
        </is>
      </c>
      <c r="D56" t="inlineStr">
        <is>
          <t>Energy</t>
        </is>
      </c>
      <c r="E56" t="inlineStr">
        <is>
          <t>Oil &amp; Gas Midstream</t>
        </is>
      </c>
      <c r="F56" t="inlineStr">
        <is>
          <t>Monaco</t>
        </is>
      </c>
      <c r="G56" t="inlineStr">
        <is>
          <t>3.86B</t>
        </is>
      </c>
      <c r="H56" t="n">
        <v>74.51000000000001</v>
      </c>
    </row>
    <row r="57">
      <c r="A57" t="n">
        <v>74</v>
      </c>
      <c r="B57" t="inlineStr">
        <is>
          <t>SUPN</t>
        </is>
      </c>
      <c r="C57" t="inlineStr">
        <is>
          <t>Supernus Pharmaceuticals Inc</t>
        </is>
      </c>
      <c r="D57" t="inlineStr">
        <is>
          <t>Healthcare</t>
        </is>
      </c>
      <c r="E57" t="inlineStr">
        <is>
          <t>Drug Manufacturers - Specialty &amp; Generic</t>
        </is>
      </c>
      <c r="F57" t="inlineStr">
        <is>
          <t>USA</t>
        </is>
      </c>
      <c r="G57" t="inlineStr">
        <is>
          <t>2.92B</t>
        </is>
      </c>
      <c r="H57" t="n">
        <v>50.68</v>
      </c>
    </row>
    <row r="58">
      <c r="A58" t="n">
        <v>75</v>
      </c>
      <c r="B58" t="inlineStr">
        <is>
          <t>SXI</t>
        </is>
      </c>
      <c r="C58" t="inlineStr">
        <is>
          <t>Standex International Corp</t>
        </is>
      </c>
      <c r="D58" t="inlineStr">
        <is>
          <t>Industrials</t>
        </is>
      </c>
      <c r="E58" t="inlineStr">
        <is>
          <t>Specialty Industrial Machinery</t>
        </is>
      </c>
      <c r="F58" t="inlineStr">
        <is>
          <t>USA</t>
        </is>
      </c>
      <c r="G58" t="inlineStr">
        <is>
          <t>3.25B</t>
        </is>
      </c>
      <c r="H58" s="7" t="n">
        <v>268.28</v>
      </c>
    </row>
    <row r="59">
      <c r="A59" t="n">
        <v>76</v>
      </c>
      <c r="B59" t="inlineStr">
        <is>
          <t>TAL</t>
        </is>
      </c>
      <c r="C59" t="inlineStr">
        <is>
          <t>TAL Education Group ADR</t>
        </is>
      </c>
      <c r="D59" t="inlineStr">
        <is>
          <t>Consumer Defensive</t>
        </is>
      </c>
      <c r="E59" t="inlineStr">
        <is>
          <t>Education &amp; Training Services</t>
        </is>
      </c>
      <c r="F59" t="inlineStr">
        <is>
          <t>China</t>
        </is>
      </c>
      <c r="G59" t="inlineStr">
        <is>
          <t>5.04B</t>
        </is>
      </c>
      <c r="H59" t="n">
        <v>11</v>
      </c>
    </row>
    <row r="60">
      <c r="A60" t="n">
        <v>77</v>
      </c>
      <c r="B60" t="inlineStr">
        <is>
          <t>TARS</t>
        </is>
      </c>
      <c r="C60" t="inlineStr">
        <is>
          <t>Tarsus Pharmaceuticals Inc</t>
        </is>
      </c>
      <c r="D60" t="inlineStr">
        <is>
          <t>Healthcare</t>
        </is>
      </c>
      <c r="E60" t="inlineStr">
        <is>
          <t>Biotechnology</t>
        </is>
      </c>
      <c r="F60" t="inlineStr">
        <is>
          <t>USA</t>
        </is>
      </c>
      <c r="G60" t="inlineStr">
        <is>
          <t>3.09B</t>
        </is>
      </c>
      <c r="H60" t="n">
        <v>72.56</v>
      </c>
    </row>
    <row r="61">
      <c r="A61" t="n">
        <v>78</v>
      </c>
      <c r="B61" t="inlineStr">
        <is>
          <t>TFPM</t>
        </is>
      </c>
      <c r="C61" t="inlineStr">
        <is>
          <t>Triple Flag Precious Metals Corp</t>
        </is>
      </c>
      <c r="D61" t="inlineStr">
        <is>
          <t>Basic Materials</t>
        </is>
      </c>
      <c r="E61" t="inlineStr">
        <is>
          <t>Other Precious Metals &amp; Mining</t>
        </is>
      </c>
      <c r="F61" t="inlineStr">
        <is>
          <t>Canada</t>
        </is>
      </c>
      <c r="G61" t="inlineStr">
        <is>
          <t>7.36B</t>
        </is>
      </c>
      <c r="H61" t="n">
        <v>35.63</v>
      </c>
    </row>
    <row r="62">
      <c r="A62" t="n">
        <v>79</v>
      </c>
      <c r="B62" t="inlineStr">
        <is>
          <t>TGTX</t>
        </is>
      </c>
      <c r="C62" t="inlineStr">
        <is>
          <t>TG Therapeutics Inc</t>
        </is>
      </c>
      <c r="D62" t="inlineStr">
        <is>
          <t>Healthcare</t>
        </is>
      </c>
      <c r="E62" t="inlineStr">
        <is>
          <t>Biotechnology</t>
        </is>
      </c>
      <c r="F62" t="inlineStr">
        <is>
          <t>USA</t>
        </is>
      </c>
      <c r="G62" t="inlineStr">
        <is>
          <t>5.39B</t>
        </is>
      </c>
      <c r="H62" t="n">
        <v>33.73</v>
      </c>
    </row>
    <row r="63">
      <c r="A63" t="n">
        <v>80</v>
      </c>
      <c r="B63" t="inlineStr">
        <is>
          <t>TME</t>
        </is>
      </c>
      <c r="C63" t="inlineStr">
        <is>
          <t>Tencent Music Entertainment Group ADR</t>
        </is>
      </c>
      <c r="D63" t="inlineStr">
        <is>
          <t>Communication Services</t>
        </is>
      </c>
      <c r="E63" t="inlineStr">
        <is>
          <t>Internet Content &amp; Information</t>
        </is>
      </c>
      <c r="F63" t="inlineStr">
        <is>
          <t>China</t>
        </is>
      </c>
      <c r="G63" t="inlineStr">
        <is>
          <t>5.39B</t>
        </is>
      </c>
      <c r="H63" t="n">
        <v>9.359999999999999</v>
      </c>
    </row>
    <row r="66" ht="18.75" customHeight="1">
      <c r="A66" s="1" t="inlineStr">
        <is>
          <t>Large Cap Stocks ($10B+)</t>
        </is>
      </c>
    </row>
    <row r="67">
      <c r="A67" s="2" t="inlineStr">
        <is>
          <t>This section is reserved for stocks with a market cap of $10B+.</t>
        </is>
      </c>
    </row>
    <row r="68">
      <c r="A68" s="3" t="inlineStr">
        <is>
          <t>No.</t>
        </is>
      </c>
      <c r="B68" s="3" t="inlineStr">
        <is>
          <t>Ticker</t>
        </is>
      </c>
      <c r="C68" s="3" t="inlineStr">
        <is>
          <t>Company</t>
        </is>
      </c>
      <c r="D68" s="3" t="inlineStr">
        <is>
          <t>Sector</t>
        </is>
      </c>
      <c r="E68" s="3" t="inlineStr">
        <is>
          <t>Industry</t>
        </is>
      </c>
      <c r="F68" s="3" t="inlineStr">
        <is>
          <t>Country</t>
        </is>
      </c>
      <c r="G68" s="3" t="inlineStr">
        <is>
          <t>Market Cap</t>
        </is>
      </c>
      <c r="H68" s="3" t="inlineStr">
        <is>
          <t>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topLeftCell="A4" workbookViewId="0">
      <selection activeCell="I9" sqref="I9"/>
    </sheetView>
  </sheetViews>
  <sheetFormatPr baseColWidth="8" defaultRowHeight="15"/>
  <cols>
    <col width="33.7109375" customWidth="1" min="1" max="1"/>
    <col width="11" customWidth="1" min="2" max="2"/>
    <col width="29.42578125" customWidth="1" min="3" max="3"/>
    <col width="11" customWidth="1" min="4" max="4"/>
    <col width="35.85546875" customWidth="1" min="5" max="5"/>
    <col width="20.85546875" customWidth="1" min="6" max="6"/>
    <col width="22.42578125" customWidth="1" min="7" max="7"/>
    <col width="64.85546875" customWidth="1" style="9" min="8" max="8"/>
    <col width="38.5703125" bestFit="1" customWidth="1" min="9" max="9"/>
    <col width="25.28515625" customWidth="1" min="10" max="10"/>
    <col width="31.42578125" customWidth="1" min="11" max="11"/>
    <col width="29.42578125" customWidth="1" min="12" max="12"/>
  </cols>
  <sheetData>
    <row r="1" ht="18.75" customHeight="1">
      <c r="A1" s="11" t="inlineStr">
        <is>
          <t>High Priority Watch List</t>
        </is>
      </c>
      <c r="B1" t="inlineStr">
        <is>
          <t>Column1</t>
        </is>
      </c>
      <c r="C1" t="inlineStr">
        <is>
          <t>Column2</t>
        </is>
      </c>
      <c r="D1" t="inlineStr">
        <is>
          <t>Column3</t>
        </is>
      </c>
      <c r="E1" t="inlineStr">
        <is>
          <t>Column4</t>
        </is>
      </c>
      <c r="F1" t="inlineStr">
        <is>
          <t>Column5</t>
        </is>
      </c>
      <c r="G1" t="inlineStr">
        <is>
          <t>Column6</t>
        </is>
      </c>
      <c r="H1" s="9" t="inlineStr">
        <is>
          <t>Column7</t>
        </is>
      </c>
      <c r="I1" t="inlineStr">
        <is>
          <t>Column8</t>
        </is>
      </c>
      <c r="J1" t="inlineStr">
        <is>
          <t>Column9</t>
        </is>
      </c>
      <c r="K1" t="inlineStr">
        <is>
          <t>Column10</t>
        </is>
      </c>
      <c r="L1" t="inlineStr">
        <is>
          <t>Column 11</t>
        </is>
      </c>
    </row>
    <row r="2" ht="18.75" customHeight="1">
      <c r="A2" s="17" t="n"/>
      <c r="B2" s="32" t="inlineStr">
        <is>
          <t>Ticker</t>
        </is>
      </c>
      <c r="C2" s="32" t="inlineStr">
        <is>
          <t xml:space="preserve">Company </t>
        </is>
      </c>
      <c r="D2" s="32" t="inlineStr">
        <is>
          <t>Price</t>
        </is>
      </c>
      <c r="E2" s="32" t="inlineStr">
        <is>
          <t>Industry</t>
        </is>
      </c>
      <c r="F2" s="32" t="inlineStr">
        <is>
          <t>Rating</t>
        </is>
      </c>
      <c r="G2" s="32" t="inlineStr">
        <is>
          <t>Rating Reason</t>
        </is>
      </c>
      <c r="H2" s="33" t="inlineStr">
        <is>
          <t>Notes</t>
        </is>
      </c>
      <c r="I2" s="32" t="inlineStr">
        <is>
          <t>Trigger</t>
        </is>
      </c>
      <c r="J2" s="32" t="inlineStr">
        <is>
          <t>Course of Action</t>
        </is>
      </c>
      <c r="K2" s="33" t="inlineStr">
        <is>
          <t>Tradingview Factors</t>
        </is>
      </c>
      <c r="L2" s="33" t="inlineStr">
        <is>
          <t>Next Earnings Report</t>
        </is>
      </c>
    </row>
    <row r="3" ht="63" customHeight="1">
      <c r="A3" s="18" t="n"/>
      <c r="B3" s="30" t="inlineStr">
        <is>
          <t>PLTR</t>
        </is>
      </c>
      <c r="C3" s="26" t="inlineStr">
        <is>
          <t>Palantir</t>
        </is>
      </c>
      <c r="D3" s="58" t="n">
        <v>128.06</v>
      </c>
      <c r="E3" s="26" t="inlineStr">
        <is>
          <t>Software Infrastructure</t>
        </is>
      </c>
      <c r="F3" s="26" t="inlineStr">
        <is>
          <t>MEDIUM (9/12)</t>
        </is>
      </c>
      <c r="G3" s="26" t="inlineStr">
        <is>
          <t>F7 Fail, F8 Fail, F11 Fail</t>
        </is>
      </c>
      <c r="H3" s="29" t="inlineStr">
        <is>
          <t>PLTR is interesting — 38.2% off its high and P/S in the 20th percentile — but the lack of a fear regime and the momentum breakdown (F12) say wait</t>
        </is>
      </c>
      <c r="I3" s="28" t="inlineStr">
        <is>
          <t>The primary gating factor for both is F8 (VIX/market fear), which would require a broader market selloff to unlock</t>
        </is>
      </c>
      <c r="J3" s="29" t="inlineStr">
        <is>
          <t>Watch closely, don't enter yet</t>
        </is>
      </c>
      <c r="K3" s="28" t="inlineStr">
        <is>
          <t>Technicals: 
Monthly time frame - Buy  
Daily time frame - Sell 
Forcast - Buy</t>
        </is>
      </c>
      <c r="L3" s="13" t="n"/>
    </row>
    <row r="4" ht="50.25" customHeight="1">
      <c r="A4" s="17" t="n"/>
      <c r="B4" s="10" t="inlineStr">
        <is>
          <t>MSFT</t>
        </is>
      </c>
      <c r="C4" s="10" t="inlineStr">
        <is>
          <t>Microsoft</t>
        </is>
      </c>
      <c r="D4" s="59" t="n">
        <v>370.87</v>
      </c>
      <c r="E4" s="10" t="inlineStr">
        <is>
          <t>Software Infrastructure</t>
        </is>
      </c>
      <c r="F4" s="12" t="inlineStr">
        <is>
          <t>HIGH (11/12)</t>
        </is>
      </c>
      <c r="G4" s="20" t="inlineStr">
        <is>
          <t>The sole blocker is F8</t>
        </is>
      </c>
      <c r="H4" s="21" t="inlineStr">
        <is>
          <t>This is the most compelling of the four tickers we've looked at. Everything passes except F8 (no market-wide fear regime)</t>
        </is>
      </c>
      <c r="I4" s="21" t="inlineStr">
        <is>
          <t>VIX needs to rise above 25 (currently 17.5) OR F&amp;G needs to drop below 35 (currently 68)</t>
        </is>
      </c>
      <c r="J4" s="10" t="inlineStr">
        <is>
          <t>Watch closely</t>
        </is>
      </c>
      <c r="K4" s="21" t="inlineStr">
        <is>
          <t>Technicals:  
Daily time frame - Buy
Forcast - Strong Buy</t>
        </is>
      </c>
      <c r="L4" s="10" t="inlineStr">
        <is>
          <t>April 19th 2026</t>
        </is>
      </c>
    </row>
    <row r="5" ht="60.75" customHeight="1">
      <c r="A5" s="17" t="n"/>
      <c r="B5" s="13" t="inlineStr">
        <is>
          <t>TSM</t>
        </is>
      </c>
      <c r="C5" s="16" t="inlineStr">
        <is>
          <t>Taiwan Semiconductor Manufacturing Company Limited</t>
        </is>
      </c>
      <c r="D5" s="60" t="n">
        <v>370.6</v>
      </c>
      <c r="E5" s="13" t="inlineStr">
        <is>
          <t>Semi Conductor</t>
        </is>
      </c>
      <c r="F5" s="16" t="inlineStr">
        <is>
          <t>MEDIUM (9/12) valuation metrics unreliable</t>
        </is>
      </c>
      <c r="G5" s="13" t="inlineStr">
        <is>
          <t>F8 Fail, F9 Fail, F11 Fail</t>
        </is>
      </c>
      <c r="H5" s="16" t="inlineStr">
        <is>
          <t>Quality direction looks solid: 20.5% revenue growth, 62.3% gross margin (expanding), ROIC 32.4%, low debt</t>
        </is>
      </c>
      <c r="I5" s="15" t="inlineStr">
        <is>
          <t>If TSM pulls back 20%+ in a broad selloff it would be interesting</t>
        </is>
      </c>
      <c r="J5" s="13" t="inlineStr">
        <is>
          <t xml:space="preserve">Worth watching </t>
        </is>
      </c>
      <c r="K5" s="16" t="n"/>
      <c r="L5" s="13" t="n"/>
    </row>
    <row r="6" ht="66" customHeight="1">
      <c r="A6" s="17" t="n"/>
      <c r="B6" s="26" t="inlineStr">
        <is>
          <t>GOOG</t>
        </is>
      </c>
      <c r="C6" s="26" t="inlineStr">
        <is>
          <t>Alphabet</t>
        </is>
      </c>
      <c r="D6" s="58" t="n">
        <v>315.84</v>
      </c>
      <c r="E6" s="26" t="inlineStr">
        <is>
          <t>Internet Content &amp; Information</t>
        </is>
      </c>
      <c r="F6" s="26" t="inlineStr">
        <is>
          <t>MEDIUM (9/12)</t>
        </is>
      </c>
      <c r="G6" s="28" t="inlineStr">
        <is>
          <t>F11 Fail, F8 Fail, F9 Fail F11 flag is more concerning given how far the P/S has stretched from its 3yr baseline</t>
        </is>
      </c>
      <c r="H6" s="29" t="inlineStr">
        <is>
          <t>Strong quality profile across the board, blocked only by valuation and timing</t>
        </is>
      </c>
      <c r="I6" s="29" t="inlineStr">
        <is>
          <t>If all quality gates pass, waiting for a fear event and/or price reset to create an entry</t>
        </is>
      </c>
      <c r="J6" s="26" t="inlineStr">
        <is>
          <t>Observe</t>
        </is>
      </c>
      <c r="K6" s="28" t="inlineStr">
        <is>
          <t>Technicals: 
Monthly time frame - Strong Buy  
Daily time frame - Strong Buy 
Forcast - Strong Buy</t>
        </is>
      </c>
      <c r="L6" s="13" t="n"/>
    </row>
    <row r="7" ht="50.25" customHeight="1">
      <c r="A7" s="17" t="n"/>
      <c r="B7" s="13" t="inlineStr">
        <is>
          <t>CDE</t>
        </is>
      </c>
      <c r="C7" s="13" t="inlineStr">
        <is>
          <t>Coeur Mining</t>
        </is>
      </c>
      <c r="D7" s="60" t="n">
        <v>20.24</v>
      </c>
      <c r="E7" s="13" t="inlineStr">
        <is>
          <t>Mining/ Gold</t>
        </is>
      </c>
      <c r="F7" s="13" t="inlineStr">
        <is>
          <t>MEDIUM (9/12)</t>
        </is>
      </c>
      <c r="G7" s="16" t="inlineStr">
        <is>
          <t>F3 Fail, F11 Fail, F8 Fail riding the precious metals rally</t>
        </is>
      </c>
      <c r="H7" s="15" t="inlineStr">
        <is>
          <t>The 9/12 score is somewhat flattering given the commodity-driven nature of the metrics.</t>
        </is>
      </c>
      <c r="I7" s="15" t="inlineStr">
        <is>
          <t>The quality passes are a function of gold prices, not durable business economics</t>
        </is>
      </c>
      <c r="J7" s="15" t="inlineStr">
        <is>
          <t>This isn't the kind of compounder the model was designed for</t>
        </is>
      </c>
      <c r="K7" s="31" t="n"/>
      <c r="L7" s="13" t="n"/>
    </row>
    <row r="8" ht="65.25" customHeight="1">
      <c r="A8" s="17" t="n"/>
      <c r="B8" s="23" t="inlineStr">
        <is>
          <t>AMBA</t>
        </is>
      </c>
      <c r="C8" s="23" t="inlineStr">
        <is>
          <t>Ambarella</t>
        </is>
      </c>
      <c r="D8" s="61" t="n">
        <v>52.78</v>
      </c>
      <c r="E8" s="23" t="inlineStr">
        <is>
          <t>Semi Conductor Equipment &amp; Materials</t>
        </is>
      </c>
      <c r="F8" s="23" t="inlineStr">
        <is>
          <t>MEDIUM (9/12)</t>
        </is>
      </c>
      <c r="G8" s="23" t="inlineStr">
        <is>
          <t>F3 Fail, F6 Fail, F8 Fail</t>
        </is>
      </c>
      <c r="H8" s="25" t="inlineStr">
        <is>
          <t>The profile is strong: deeply dislocated, near 3yr valuation lows, stabilizing momentum, near debt-free. F3 is the main concern — needs to demonstrate it can convert the revenue recovery into real returns.</t>
        </is>
      </c>
      <c r="I8" s="25" t="inlineStr">
        <is>
          <t>Fear event unlocking F8 while F3 improves would make this a high-conviction candidate</t>
        </is>
      </c>
      <c r="J8" s="23" t="inlineStr">
        <is>
          <t>Watch closely</t>
        </is>
      </c>
      <c r="K8" s="34" t="inlineStr">
        <is>
          <t>Technicals: 
Monthly time frame - Sell  
Daily time frame - Buy 
Forcast - Buy</t>
        </is>
      </c>
      <c r="L8" s="13" t="n"/>
    </row>
    <row r="9" ht="78" customHeight="1">
      <c r="A9" s="17" t="n"/>
      <c r="B9" s="10" t="inlineStr">
        <is>
          <t>APPF</t>
        </is>
      </c>
      <c r="C9" s="10" t="inlineStr">
        <is>
          <t>AppFollo</t>
        </is>
      </c>
      <c r="D9" s="59" t="n">
        <v>143.34</v>
      </c>
      <c r="E9" s="10" t="inlineStr">
        <is>
          <t>Software Application</t>
        </is>
      </c>
      <c r="F9" s="12" t="inlineStr">
        <is>
          <t>High (11/12)</t>
        </is>
      </c>
      <c r="G9" s="10" t="inlineStr">
        <is>
          <t>F8 Fail</t>
        </is>
      </c>
      <c r="H9" s="22" t="inlineStr">
        <is>
          <t>PEG = 0.94 - F6 requires PEG to be &lt;2.0</t>
        </is>
      </c>
      <c r="I9" s="21" t="inlineStr">
        <is>
          <t>If it heals the EMA50 gap, it could score 11/12
Only the market timing gate (F8) and trend stabilisation (F12) standing between it and a full entry signal</t>
        </is>
      </c>
      <c r="J9" s="10" t="inlineStr">
        <is>
          <t>Watch very closley</t>
        </is>
      </c>
      <c r="K9" s="21" t="inlineStr">
        <is>
          <t>Technicals: 
Monthly time frame - Sell
Daily time frame - Sell
Forcast - Strong Buy</t>
        </is>
      </c>
      <c r="L9" s="48" t="inlineStr">
        <is>
          <t>In 5 days (sat)</t>
        </is>
      </c>
    </row>
    <row r="10" ht="60" customHeight="1">
      <c r="A10" s="17" t="n"/>
      <c r="B10" s="13" t="inlineStr">
        <is>
          <t>ARIS</t>
        </is>
      </c>
      <c r="C10" s="13" t="inlineStr">
        <is>
          <t>Aris Mining</t>
        </is>
      </c>
      <c r="D10" s="60" t="n">
        <v>20.76</v>
      </c>
      <c r="E10" s="13" t="inlineStr">
        <is>
          <t>Gold</t>
        </is>
      </c>
      <c r="F10" s="13" t="inlineStr">
        <is>
          <t>MEDIUM (9/12)</t>
        </is>
      </c>
      <c r="G10" s="13" t="inlineStr">
        <is>
          <t>F8 Fail, F9 Fail, F11 Fail</t>
        </is>
      </c>
      <c r="H10" s="15" t="inlineStr">
        <is>
          <t>The model's concern is legitimate: ARIS has run hard (+295% 12m momentum) and is priced at the top of its valuation range</t>
        </is>
      </c>
      <c r="I10" s="35" t="inlineStr">
        <is>
          <t>?</t>
        </is>
      </c>
      <c r="J10" s="35" t="inlineStr">
        <is>
          <t>?</t>
        </is>
      </c>
      <c r="K10" s="16" t="inlineStr">
        <is>
          <t>Technicals: 
Monthly time frame - Buy
Daily time frame - Strong Buy
Forcast - Strong Buy</t>
        </is>
      </c>
      <c r="L10" s="13" t="n"/>
    </row>
    <row r="11" ht="60" customHeight="1">
      <c r="A11" s="17" t="n"/>
      <c r="B11" s="10" t="inlineStr">
        <is>
          <t>PTC</t>
        </is>
      </c>
      <c r="C11" s="10" t="inlineStr">
        <is>
          <t>PTC Inc</t>
        </is>
      </c>
      <c r="D11" s="59" t="n">
        <v>139.74</v>
      </c>
      <c r="E11" s="10" t="inlineStr">
        <is>
          <t>Technology</t>
        </is>
      </c>
      <c r="F11" s="12" t="inlineStr">
        <is>
          <t>HIGH (11/12)</t>
        </is>
      </c>
      <c r="G11" s="10" t="inlineStr">
        <is>
          <t xml:space="preserve">F8 Fail </t>
        </is>
      </c>
      <c r="H11" s="10" t="n"/>
      <c r="I11" s="10" t="inlineStr">
        <is>
          <t>F8 Pass</t>
        </is>
      </c>
      <c r="J11" s="10" t="inlineStr">
        <is>
          <t>Watch very closley</t>
        </is>
      </c>
      <c r="K11" s="21" t="inlineStr">
        <is>
          <t>Technicals: 
Monthly time frame - Strong Buy
Daily time frame - Buy
Forcast - Strong Buy</t>
        </is>
      </c>
      <c r="L11" s="10" t="inlineStr">
        <is>
          <t>June 19th 2026</t>
        </is>
      </c>
    </row>
    <row r="12" ht="60" customHeight="1">
      <c r="A12" s="17" t="n"/>
      <c r="B12" s="10" t="inlineStr">
        <is>
          <t>ARES</t>
        </is>
      </c>
      <c r="C12" s="10" t="inlineStr">
        <is>
          <t>Ares Management Corporation</t>
        </is>
      </c>
      <c r="D12" s="59" t="n">
        <v>117.78</v>
      </c>
      <c r="E12" s="10" t="inlineStr">
        <is>
          <t>Financial Services</t>
        </is>
      </c>
      <c r="F12" s="12" t="inlineStr">
        <is>
          <t>HIGH (11/12)</t>
        </is>
      </c>
      <c r="G12" s="10" t="inlineStr">
        <is>
          <t>F8 Fail</t>
        </is>
      </c>
      <c r="H12" s="10" t="inlineStr">
        <is>
          <t>2 insider purchases: 1 - +$59,726, 2 - +$1,266,100</t>
        </is>
      </c>
      <c r="I12" s="10" t="inlineStr">
        <is>
          <t>F8 Pass</t>
        </is>
      </c>
      <c r="J12" s="10" t="inlineStr">
        <is>
          <t>Watch very closley</t>
        </is>
      </c>
      <c r="K12" s="21" t="inlineStr">
        <is>
          <t>Technicals: 
Monthly time frame - Sell
Daily time frame - Neutral
Forcast - Buy</t>
        </is>
      </c>
      <c r="L12" s="10" t="inlineStr">
        <is>
          <t>May 1st 2026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tabSelected="1" zoomScaleNormal="100" workbookViewId="0">
      <pane ySplit="5" topLeftCell="A6" activePane="bottomLeft" state="frozen"/>
      <selection pane="bottomLeft" activeCell="I30" sqref="I30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25" bestFit="1" customWidth="1" min="8" max="8"/>
    <col width="15" customWidth="1" min="9" max="9"/>
    <col width="35" bestFit="1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</cols>
  <sheetData>
    <row r="1" ht="15.75" customHeight="1">
      <c r="A1" s="62" t="inlineStr">
        <is>
          <t>QVM STRATEGY PORTFOLIO DASHBOARD</t>
        </is>
      </c>
      <c r="T1" t="inlineStr">
        <is>
          <t>Industry</t>
        </is>
      </c>
      <c r="U1" t="inlineStr">
        <is>
          <t>Value</t>
        </is>
      </c>
    </row>
    <row r="2" ht="32.25" customHeight="1">
      <c r="A2" s="63" t="inlineStr">
        <is>
          <t>Comprehensive Performance &amp; Risk Analysis</t>
        </is>
      </c>
      <c r="T2" t="inlineStr">
        <is>
          <t>Materials</t>
        </is>
      </c>
      <c r="U2" t="n">
        <v>338.04</v>
      </c>
    </row>
    <row r="3" ht="33.75" customHeight="1">
      <c r="A3" s="64" t="inlineStr">
        <is>
          <t>Report Date: 2026-04-17</t>
        </is>
      </c>
      <c r="T3" t="inlineStr">
        <is>
          <t>Semiconductors</t>
        </is>
      </c>
      <c r="U3" t="n">
        <v>455.07</v>
      </c>
    </row>
    <row r="4" ht="30.75" customHeight="1">
      <c r="T4" t="inlineStr">
        <is>
          <t>Biotechnology</t>
        </is>
      </c>
      <c r="U4" t="n">
        <v>293.46</v>
      </c>
    </row>
    <row r="5" ht="32.25" customHeight="1">
      <c r="A5" s="65" t="inlineStr">
        <is>
          <t>Date</t>
        </is>
      </c>
      <c r="B5" s="65" t="inlineStr">
        <is>
          <t>Ticker</t>
        </is>
      </c>
      <c r="C5" s="65" t="inlineStr">
        <is>
          <t>Tier</t>
        </is>
      </c>
      <c r="D5" s="65" t="inlineStr">
        <is>
          <t>Action</t>
        </is>
      </c>
      <c r="E5" s="65" t="inlineStr">
        <is>
          <t>Entry Price</t>
        </is>
      </c>
      <c r="F5" s="65" t="inlineStr">
        <is>
          <t>Current Price</t>
        </is>
      </c>
      <c r="G5" s="65" t="inlineStr">
        <is>
          <t>Position %</t>
        </is>
      </c>
      <c r="H5" s="65" t="inlineStr">
        <is>
          <t>Reason</t>
        </is>
      </c>
      <c r="I5" s="65" t="inlineStr">
        <is>
          <t>Next Rebalance</t>
        </is>
      </c>
      <c r="J5" s="65" t="inlineStr">
        <is>
          <t>Diagnose.py Result</t>
        </is>
      </c>
      <c r="K5" s="65" t="inlineStr">
        <is>
          <t>Position Value</t>
        </is>
      </c>
      <c r="L5" s="65" t="inlineStr">
        <is>
          <t>Position Size</t>
        </is>
      </c>
      <c r="M5" s="65" t="inlineStr">
        <is>
          <t>Risk ($3,000)</t>
        </is>
      </c>
      <c r="N5" s="65" t="inlineStr">
        <is>
          <t>Industry</t>
        </is>
      </c>
      <c r="O5" s="65" t="inlineStr">
        <is>
          <t>Unrealized G/L %</t>
        </is>
      </c>
      <c r="T5" t="inlineStr">
        <is>
          <t>Interactive Media</t>
        </is>
      </c>
      <c r="U5" t="n">
        <v>339.4</v>
      </c>
    </row>
    <row r="6" ht="31.5" customHeight="1">
      <c r="A6" s="66" t="n">
        <v>46129</v>
      </c>
      <c r="B6" s="67" t="inlineStr">
        <is>
          <t>CF</t>
        </is>
      </c>
      <c r="C6" s="67" t="inlineStr">
        <is>
          <t>QVM</t>
        </is>
      </c>
      <c r="D6" s="68" t="inlineStr">
        <is>
          <t>BUY</t>
        </is>
      </c>
      <c r="E6" s="69" t="n">
        <v>112.68</v>
      </c>
      <c r="F6" s="70" t="n">
        <v>112.68</v>
      </c>
      <c r="G6" s="71" t="n">
        <v>0.11</v>
      </c>
      <c r="H6" s="67" t="inlineStr">
        <is>
          <t>QVM rebalance - rank 1</t>
        </is>
      </c>
      <c r="I6" s="67" t="inlineStr">
        <is>
          <t>End of June</t>
        </is>
      </c>
      <c r="J6" s="67" t="inlineStr">
        <is>
          <t>Medium - 9/12
No insider activity</t>
        </is>
      </c>
      <c r="K6" s="72" t="n">
        <v>338.04</v>
      </c>
      <c r="L6" s="67" t="inlineStr">
        <is>
          <t xml:space="preserve">3 Shares
</t>
        </is>
      </c>
      <c r="M6" s="71" t="n">
        <v>0.0171</v>
      </c>
      <c r="N6" s="67" t="inlineStr">
        <is>
          <t>Materials</t>
        </is>
      </c>
      <c r="O6" s="71" t="n">
        <v>0</v>
      </c>
      <c r="T6" t="inlineStr">
        <is>
          <t>Storage</t>
        </is>
      </c>
      <c r="U6" t="n">
        <v>372.52</v>
      </c>
    </row>
    <row r="7" ht="33.75" customHeight="1">
      <c r="A7" s="66" t="n">
        <v>46129</v>
      </c>
      <c r="B7" s="67" t="inlineStr">
        <is>
          <t>MU</t>
        </is>
      </c>
      <c r="C7" s="67" t="inlineStr">
        <is>
          <t>QVM</t>
        </is>
      </c>
      <c r="D7" s="68" t="inlineStr">
        <is>
          <t>BUY</t>
        </is>
      </c>
      <c r="E7" s="69" t="n">
        <v>453.55</v>
      </c>
      <c r="F7" s="70" t="n">
        <v>453.55</v>
      </c>
      <c r="G7" s="71" t="n">
        <v>0.15</v>
      </c>
      <c r="H7" s="67" t="inlineStr">
        <is>
          <t>QVM rebalance - rank 2</t>
        </is>
      </c>
      <c r="I7" s="67" t="inlineStr">
        <is>
          <t>End of June</t>
        </is>
      </c>
      <c r="J7" s="67" t="inlineStr">
        <is>
          <t>Medium - 9/12
No insider activity</t>
        </is>
      </c>
      <c r="K7" s="72" t="n">
        <v>455.07</v>
      </c>
      <c r="L7" s="67" t="inlineStr">
        <is>
          <t xml:space="preserve">1 Share
</t>
        </is>
      </c>
      <c r="M7" s="71" t="n">
        <v>0.0222</v>
      </c>
      <c r="N7" s="67" t="inlineStr">
        <is>
          <t>Semiconductors</t>
        </is>
      </c>
      <c r="O7" s="71" t="n">
        <v>0</v>
      </c>
      <c r="T7" t="inlineStr">
        <is>
          <t>Semiconductor Equip</t>
        </is>
      </c>
      <c r="U7" t="n">
        <v>267.6</v>
      </c>
    </row>
    <row r="8" ht="33.75" customHeight="1">
      <c r="A8" s="66" t="n">
        <v>46129</v>
      </c>
      <c r="B8" s="67" t="inlineStr">
        <is>
          <t>INCY</t>
        </is>
      </c>
      <c r="C8" s="67" t="inlineStr">
        <is>
          <t>QVM</t>
        </is>
      </c>
      <c r="D8" s="68" t="inlineStr">
        <is>
          <t>BUY</t>
        </is>
      </c>
      <c r="E8" s="69" t="n">
        <v>97.34999999999999</v>
      </c>
      <c r="F8" s="70" t="n">
        <v>97.34999999999999</v>
      </c>
      <c r="G8" s="71" t="n">
        <v>0.1</v>
      </c>
      <c r="H8" s="67" t="inlineStr">
        <is>
          <t>QVM rebalance - rank 3</t>
        </is>
      </c>
      <c r="I8" s="67" t="inlineStr">
        <is>
          <t>End of June</t>
        </is>
      </c>
      <c r="J8" s="67" t="inlineStr">
        <is>
          <t>Medium - 9/12
No insider activity</t>
        </is>
      </c>
      <c r="K8" s="72" t="n">
        <v>293.46</v>
      </c>
      <c r="L8" s="67" t="inlineStr">
        <is>
          <t xml:space="preserve">3 Shares
</t>
        </is>
      </c>
      <c r="M8" s="71" t="n">
        <v>0.0142</v>
      </c>
      <c r="N8" s="67" t="inlineStr">
        <is>
          <t>Biotechnology</t>
        </is>
      </c>
      <c r="O8" s="71" t="n">
        <v>0</v>
      </c>
      <c r="T8" t="inlineStr">
        <is>
          <t>Software</t>
        </is>
      </c>
      <c r="U8" t="n">
        <v>702.63</v>
      </c>
    </row>
    <row r="9" ht="31.5" customHeight="1">
      <c r="A9" s="66" t="n">
        <v>46129</v>
      </c>
      <c r="B9" s="67" t="inlineStr">
        <is>
          <t>GOOGL</t>
        </is>
      </c>
      <c r="C9" s="67" t="inlineStr">
        <is>
          <t>QVM</t>
        </is>
      </c>
      <c r="D9" s="68" t="inlineStr">
        <is>
          <t>BUY</t>
        </is>
      </c>
      <c r="E9" s="69" t="n">
        <v>338.45</v>
      </c>
      <c r="F9" s="70" t="n">
        <v>338.45</v>
      </c>
      <c r="G9" s="71" t="n">
        <v>0.113</v>
      </c>
      <c r="H9" s="67" t="inlineStr">
        <is>
          <t>QVM rebalance - rank 4</t>
        </is>
      </c>
      <c r="I9" s="67" t="inlineStr">
        <is>
          <t>End of June</t>
        </is>
      </c>
      <c r="J9" s="67" t="inlineStr">
        <is>
          <t>Medium - 9/12
No insider activity</t>
        </is>
      </c>
      <c r="K9" s="72" t="n">
        <v>339.4</v>
      </c>
      <c r="L9" s="67" t="inlineStr">
        <is>
          <t xml:space="preserve">1 Share
</t>
        </is>
      </c>
      <c r="M9" s="71" t="n">
        <v>0.0168</v>
      </c>
      <c r="N9" s="67" t="inlineStr">
        <is>
          <t>Interactive Media</t>
        </is>
      </c>
      <c r="O9" s="71" t="n">
        <v>0</v>
      </c>
      <c r="T9" t="inlineStr">
        <is>
          <t>Asset Management</t>
        </is>
      </c>
      <c r="U9" t="n">
        <v>353.34</v>
      </c>
    </row>
    <row r="10" ht="36" customHeight="1">
      <c r="A10" s="66" t="n">
        <v>46129</v>
      </c>
      <c r="B10" s="67" t="inlineStr">
        <is>
          <t>WDC</t>
        </is>
      </c>
      <c r="C10" s="67" t="inlineStr">
        <is>
          <t>QVM</t>
        </is>
      </c>
      <c r="D10" s="68" t="inlineStr">
        <is>
          <t>BUY</t>
        </is>
      </c>
      <c r="E10" s="69" t="n">
        <v>372.52</v>
      </c>
      <c r="F10" s="70" t="n">
        <v>372.52</v>
      </c>
      <c r="G10" s="71" t="n">
        <v>0.124</v>
      </c>
      <c r="H10" s="67" t="inlineStr">
        <is>
          <t>QVM rebalance - rank 5</t>
        </is>
      </c>
      <c r="I10" s="67" t="inlineStr">
        <is>
          <t>End of June</t>
        </is>
      </c>
      <c r="J10" s="67" t="inlineStr">
        <is>
          <t>Medium - 9/12
No insider activity</t>
        </is>
      </c>
      <c r="K10" s="72" t="n">
        <v>372.52</v>
      </c>
      <c r="L10" s="67" t="inlineStr">
        <is>
          <t xml:space="preserve">1 Share
</t>
        </is>
      </c>
      <c r="M10" s="71" t="n">
        <v>0.0187</v>
      </c>
      <c r="N10" s="67" t="inlineStr">
        <is>
          <t>Storage</t>
        </is>
      </c>
      <c r="O10" s="71" t="n">
        <v>0</v>
      </c>
      <c r="T10" t="inlineStr">
        <is>
          <t>Beverages</t>
        </is>
      </c>
      <c r="U10" t="n">
        <v>306.88</v>
      </c>
    </row>
    <row r="11" ht="33.75" customHeight="1">
      <c r="A11" s="66" t="n">
        <v>46129</v>
      </c>
      <c r="B11" s="67" t="inlineStr">
        <is>
          <t>LRCX</t>
        </is>
      </c>
      <c r="C11" s="67" t="inlineStr">
        <is>
          <t>QVM</t>
        </is>
      </c>
      <c r="D11" s="68" t="inlineStr">
        <is>
          <t>BUY</t>
        </is>
      </c>
      <c r="E11" s="69" t="n">
        <v>267.49</v>
      </c>
      <c r="F11" s="70" t="n">
        <v>267.49</v>
      </c>
      <c r="G11" s="71" t="n">
        <v>0.0892</v>
      </c>
      <c r="H11" s="67" t="inlineStr">
        <is>
          <t>QVM rebalance - rank 6</t>
        </is>
      </c>
      <c r="I11" s="67" t="inlineStr">
        <is>
          <t>End of June</t>
        </is>
      </c>
      <c r="J11" s="67" t="inlineStr">
        <is>
          <t>Medium - 9/12
No insider activity</t>
        </is>
      </c>
      <c r="K11" s="72" t="n">
        <v>267.6</v>
      </c>
      <c r="L11" s="67" t="inlineStr">
        <is>
          <t xml:space="preserve">1 Share
</t>
        </is>
      </c>
      <c r="M11" s="71" t="n">
        <v>0.0133</v>
      </c>
      <c r="N11" s="67" t="inlineStr">
        <is>
          <t>Semiconductor Equip</t>
        </is>
      </c>
      <c r="O11" s="71" t="n">
        <v>0</v>
      </c>
    </row>
    <row r="12">
      <c r="A12" s="73" t="n">
        <v>46129</v>
      </c>
      <c r="B12" s="68" t="inlineStr">
        <is>
          <t>PTC</t>
        </is>
      </c>
      <c r="C12" s="68" t="inlineStr">
        <is>
          <t>QVM</t>
        </is>
      </c>
      <c r="D12" s="68" t="inlineStr">
        <is>
          <t>BUY</t>
        </is>
      </c>
      <c r="E12" s="69" t="n">
        <v>139.74</v>
      </c>
      <c r="F12" s="70" t="n">
        <v>139.74</v>
      </c>
      <c r="G12" s="74" t="n">
        <v>0.09320000000000001</v>
      </c>
      <c r="H12" s="68" t="inlineStr">
        <is>
          <t>QVM rebalance - rank 7</t>
        </is>
      </c>
      <c r="I12" s="68" t="inlineStr">
        <is>
          <t>End of June</t>
        </is>
      </c>
      <c r="J12" s="68" t="inlineStr">
        <is>
          <t>High - 11/12
No insider activity</t>
        </is>
      </c>
      <c r="K12" s="75" t="n">
        <v>279.84</v>
      </c>
      <c r="L12" s="68" t="inlineStr">
        <is>
          <t xml:space="preserve">2 Shares
</t>
        </is>
      </c>
      <c r="M12" s="74" t="n">
        <v>0.014</v>
      </c>
      <c r="N12" s="67" t="inlineStr">
        <is>
          <t>Software</t>
        </is>
      </c>
      <c r="O12" s="71" t="n">
        <v>0</v>
      </c>
    </row>
    <row r="13">
      <c r="A13" s="73" t="n">
        <v>46129</v>
      </c>
      <c r="B13" s="68" t="inlineStr">
        <is>
          <t>ARES</t>
        </is>
      </c>
      <c r="C13" s="68" t="inlineStr">
        <is>
          <t>QVM</t>
        </is>
      </c>
      <c r="D13" s="68" t="inlineStr">
        <is>
          <t>BUY</t>
        </is>
      </c>
      <c r="E13" s="69" t="n">
        <v>119.94</v>
      </c>
      <c r="F13" s="70" t="n">
        <v>119.94</v>
      </c>
      <c r="G13" s="74" t="n">
        <v>0.11</v>
      </c>
      <c r="H13" s="68" t="inlineStr">
        <is>
          <t>QVM rebalance - rank 8</t>
        </is>
      </c>
      <c r="I13" s="68" t="inlineStr">
        <is>
          <t>End of June</t>
        </is>
      </c>
      <c r="J13" s="68" t="inlineStr">
        <is>
          <t xml:space="preserve">High - 11/12
2 insider purchases </t>
        </is>
      </c>
      <c r="K13" s="75" t="n">
        <v>353.34</v>
      </c>
      <c r="L13" s="68" t="inlineStr">
        <is>
          <t xml:space="preserve">3 Shares
</t>
        </is>
      </c>
      <c r="M13" s="74" t="n">
        <v>0.0199</v>
      </c>
      <c r="N13" s="67" t="inlineStr">
        <is>
          <t>Asset Management</t>
        </is>
      </c>
      <c r="O13" s="71" t="n">
        <v>0</v>
      </c>
    </row>
    <row r="14">
      <c r="A14" s="73" t="n">
        <v>46129</v>
      </c>
      <c r="B14" s="68" t="inlineStr">
        <is>
          <t>MSFT</t>
        </is>
      </c>
      <c r="C14" s="68" t="inlineStr">
        <is>
          <t>QVM</t>
        </is>
      </c>
      <c r="D14" s="68" t="inlineStr">
        <is>
          <t>BUY</t>
        </is>
      </c>
      <c r="E14" s="69" t="n">
        <v>422.53</v>
      </c>
      <c r="F14" s="70" t="n">
        <v>422.53</v>
      </c>
      <c r="G14" s="74" t="n">
        <v>0.14</v>
      </c>
      <c r="H14" s="68" t="inlineStr">
        <is>
          <t>QVM rebalance - rank 9</t>
        </is>
      </c>
      <c r="I14" s="68" t="inlineStr">
        <is>
          <t>End of June</t>
        </is>
      </c>
      <c r="J14" s="68" t="inlineStr">
        <is>
          <t>High - 11/12
1 insider purchase</t>
        </is>
      </c>
      <c r="K14" s="75" t="n">
        <v>422.79</v>
      </c>
      <c r="L14" s="68" t="inlineStr">
        <is>
          <t xml:space="preserve">1 Share
</t>
        </is>
      </c>
      <c r="M14" s="74" t="n">
        <v>0.0211</v>
      </c>
      <c r="N14" s="67" t="inlineStr">
        <is>
          <t>Software</t>
        </is>
      </c>
      <c r="O14" s="71" t="n">
        <v>0</v>
      </c>
    </row>
    <row r="15">
      <c r="A15" s="66" t="n">
        <v>46129</v>
      </c>
      <c r="B15" s="67" t="inlineStr">
        <is>
          <t>MNST</t>
        </is>
      </c>
      <c r="C15" s="67" t="inlineStr">
        <is>
          <t>QVM</t>
        </is>
      </c>
      <c r="D15" s="68" t="inlineStr">
        <is>
          <t>BUY</t>
        </is>
      </c>
      <c r="E15" s="69" t="n">
        <v>76.78</v>
      </c>
      <c r="F15" s="70" t="n">
        <v>76.78</v>
      </c>
      <c r="G15" s="71" t="n">
        <v>0.1</v>
      </c>
      <c r="H15" s="67" t="inlineStr">
        <is>
          <t>QVM rebalance - rank 10</t>
        </is>
      </c>
      <c r="I15" s="67" t="inlineStr">
        <is>
          <t>End of June</t>
        </is>
      </c>
      <c r="J15" s="67" t="inlineStr">
        <is>
          <t>Medium - 9/12
No insider activity</t>
        </is>
      </c>
      <c r="K15" s="72" t="n">
        <v>306.88</v>
      </c>
      <c r="L15" s="67" t="inlineStr">
        <is>
          <t xml:space="preserve">4 Shares
</t>
        </is>
      </c>
      <c r="M15" s="71" t="n">
        <v>0.0154</v>
      </c>
      <c r="N15" s="67" t="inlineStr">
        <is>
          <t>Beverages</t>
        </is>
      </c>
      <c r="O15" s="71" t="n">
        <v>0</v>
      </c>
    </row>
    <row r="16"/>
    <row r="19">
      <c r="A19" s="76" t="inlineStr">
        <is>
          <t>PORTFOLIO SUMMARY</t>
        </is>
      </c>
    </row>
    <row r="20">
      <c r="A20" t="inlineStr">
        <is>
          <t>Total Market Value</t>
        </is>
      </c>
      <c r="B20" s="77" t="n">
        <v>3428.94</v>
      </c>
    </row>
    <row r="21">
      <c r="A21" t="inlineStr">
        <is>
          <t>Initial Capital</t>
        </is>
      </c>
      <c r="B21" s="77" t="n">
        <v>3428.94</v>
      </c>
    </row>
    <row r="22">
      <c r="A22" t="inlineStr">
        <is>
          <t>Total Portfolio Return</t>
        </is>
      </c>
      <c r="B22" s="78" t="n">
        <v>0</v>
      </c>
    </row>
  </sheetData>
  <mergeCells count="1">
    <mergeCell ref="A19:B19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2026-04-12T14:04:56Z</dcterms:created>
  <dcterms:modified xmlns:dcterms="http://purl.org/dc/terms/" xmlns:xsi="http://www.w3.org/2001/XMLSchema-instance" xsi:type="dcterms:W3CDTF">2026-04-19T15:50:33Z</dcterms:modified>
  <cp:lastModifiedBy>Matt Piatkowski</cp:lastModifiedBy>
</cp:coreProperties>
</file>